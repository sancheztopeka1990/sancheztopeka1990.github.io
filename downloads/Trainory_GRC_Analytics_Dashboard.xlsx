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Override PartName="/xl/drawings/charts/chart3.xml" ContentType="application/vnd.openxmlformats-officedocument.drawingml.chart+xml"/>
  <Override PartName="/xl/drawings/charts/chart4.xml" ContentType="application/vnd.openxmlformats-officedocument.drawingml.char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980527cc4f64c4a" /></Relationships>
</file>

<file path=xl/workbook.xml><?xml version="1.0" encoding="utf-8"?>
<x:workbook xmlns:x="http://schemas.openxmlformats.org/spreadsheetml/2006/main">
  <x:sheets>
    <x:sheet xmlns:r="http://schemas.openxmlformats.org/officeDocument/2006/relationships" name="Dashboard" sheetId="1" r:id="R4070fd0f6c654b7a"/>
    <x:sheet xmlns:r="http://schemas.openxmlformats.org/officeDocument/2006/relationships" name="Metrics" sheetId="2" r:id="R844fefe6e0f24150"/>
    <x:sheet xmlns:r="http://schemas.openxmlformats.org/officeDocument/2006/relationships" name="Risk Data" sheetId="3" r:id="R2b0b22315a314aa0"/>
    <x:sheet xmlns:r="http://schemas.openxmlformats.org/officeDocument/2006/relationships" name="Control Data" sheetId="4" r:id="R20a550d4bef94195"/>
    <x:sheet xmlns:r="http://schemas.openxmlformats.org/officeDocument/2006/relationships" name="Vendor Data" sheetId="5" r:id="Re4124f73bd384215"/>
    <x:sheet xmlns:r="http://schemas.openxmlformats.org/officeDocument/2006/relationships" name="Access Data" sheetId="6" r:id="R0c3490f298924ad8"/>
    <x:sheet xmlns:r="http://schemas.openxmlformats.org/officeDocument/2006/relationships" name="Findings Data" sheetId="7" r:id="R13d2377775dc4312"/>
    <x:sheet xmlns:r="http://schemas.openxmlformats.org/officeDocument/2006/relationships" name="Dashboard Guide" sheetId="8" r:id="R2db4cb0a13574e7f"/>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yyyy-mm-dd"/>
    <x:numFmt numFmtId="201" formatCode="0%"/>
    <x:numFmt numFmtId="202" formatCode="0.0"/>
  </x:numFmts>
  <x:fonts count="11">
    <x:font>
      <x:sz val="11"/>
      <x:name val="Carlito"/>
    </x:font>
    <x:font>
      <x:b/>
      <x:sz val="11"/>
      <x:color rgb="FFFFFFFF"/>
      <x:name val="Carlito"/>
    </x:font>
    <x:font>
      <x:i/>
      <x:sz val="11"/>
      <x:color rgb="FF354A5F"/>
      <x:name val="Carlito"/>
    </x:font>
    <x:font>
      <x:sz val="11"/>
      <x:color rgb="FF1F2937"/>
      <x:name val="Carlito"/>
    </x:font>
    <x:font>
      <x:b/>
      <x:sz val="11"/>
      <x:color rgb="FF16324F"/>
      <x:name val="Carlito"/>
    </x:font>
    <x:font>
      <x:i/>
      <x:sz val="11"/>
      <x:color rgb="FF667085"/>
      <x:name val="Carlito"/>
    </x:font>
    <x:font>
      <x:b/>
      <x:sz val="11"/>
      <x:color rgb="FF991B1B"/>
      <x:name val="Carlito"/>
    </x:font>
    <x:font>
      <x:b/>
      <x:sz val="11"/>
      <x:color rgb="FF854D0E"/>
      <x:name val="Carlito"/>
    </x:font>
    <x:font>
      <x:b/>
      <x:sz val="11"/>
      <x:color rgb="FF9A3412"/>
      <x:name val="Carlito"/>
    </x:font>
    <x:font>
      <x:b/>
      <x:sz val="11"/>
      <x:color rgb="FF166534"/>
      <x:name val="Carlito"/>
    </x:font>
    <x:font>
      <x:sz val="11"/>
      <x:color rgb="FF16324F"/>
      <x:name val="Carlito"/>
    </x:font>
  </x:fonts>
  <x:fills count="11">
    <x:fill>
      <x:patternFill patternType="none"/>
    </x:fill>
    <x:fill>
      <x:patternFill patternType="gray125"/>
    </x:fill>
    <x:fill>
      <x:patternFill patternType="solid">
        <x:fgColor rgb="FF16324F"/>
      </x:patternFill>
    </x:fill>
    <x:fill>
      <x:patternFill patternType="solid">
        <x:fgColor rgb="FFE8F0F7"/>
      </x:patternFill>
    </x:fill>
    <x:fill>
      <x:patternFill patternType="solid">
        <x:fgColor rgb="FF2F6690"/>
      </x:patternFill>
    </x:fill>
    <x:fill>
      <x:patternFill patternType="solid">
        <x:fgColor rgb="FFF8FAFC"/>
      </x:patternFill>
    </x:fill>
    <x:fill>
      <x:patternFill patternType="solid">
        <x:fgColor rgb="FFFEE2E2"/>
      </x:patternFill>
    </x:fill>
    <x:fill>
      <x:patternFill patternType="solid">
        <x:fgColor rgb="FFFEF3C7"/>
      </x:patternFill>
    </x:fill>
    <x:fill>
      <x:patternFill patternType="solid">
        <x:fgColor rgb="FFFFEDD5"/>
      </x:patternFill>
    </x:fill>
    <x:fill>
      <x:patternFill patternType="solid">
        <x:fgColor rgb="FFDCFCE7"/>
      </x:patternFill>
    </x:fill>
    <x:fill>
      <x:patternFill patternType="solid">
        <x:fgColor rgb="FFF2F4F7"/>
      </x:patternFill>
    </x:fill>
  </x:fills>
  <x:borders count="14">
    <x:border/>
    <x:border>
      <x:left style="thin">
        <x:color rgb="FF244C6D"/>
      </x:left>
      <x:right style="thin">
        <x:color rgb="FF244C6D"/>
      </x:right>
      <x:top style="thin">
        <x:color rgb="FF244C6D"/>
      </x:top>
      <x:bottom style="thin">
        <x:color rgb="FF244C6D"/>
      </x:bottom>
    </x:border>
    <x:border>
      <x:bottom style="thin">
        <x:color rgb="FFD9E2EA"/>
      </x:bottom>
    </x:border>
    <x:border>
      <x:left style="thin">
        <x:color rgb="FF16324F"/>
      </x:left>
      <x:top style="thin">
        <x:color rgb="FF16324F"/>
      </x:top>
      <x:bottom style="thin">
        <x:color rgb="FF16324F"/>
      </x:bottom>
    </x:border>
    <x:border>
      <x:right style="thin">
        <x:color rgb="FF16324F"/>
      </x:right>
      <x:top style="thin">
        <x:color rgb="FF16324F"/>
      </x:top>
      <x:bottom style="thin">
        <x:color rgb="FF16324F"/>
      </x:bottom>
    </x:border>
    <x:border>
      <x:left style="thin">
        <x:color rgb="FFD9E2EA"/>
      </x:left>
      <x:top style="thin">
        <x:color rgb="FFD9E2EA"/>
      </x:top>
    </x:border>
    <x:border>
      <x:right style="thin">
        <x:color rgb="FFD9E2EA"/>
      </x:right>
      <x:top style="thin">
        <x:color rgb="FFD9E2EA"/>
      </x:top>
    </x:border>
    <x:border>
      <x:left style="thin">
        <x:color rgb="FFD9E2EA"/>
      </x:left>
    </x:border>
    <x:border>
      <x:right style="thin">
        <x:color rgb="FFD9E2EA"/>
      </x:right>
    </x:border>
    <x:border>
      <x:left style="thin">
        <x:color rgb="FFD9E2EA"/>
      </x:left>
      <x:bottom style="thin">
        <x:color rgb="FFD9E2EA"/>
      </x:bottom>
    </x:border>
    <x:border>
      <x:right style="thin">
        <x:color rgb="FFD9E2EA"/>
      </x:right>
      <x:bottom style="thin">
        <x:color rgb="FFD9E2EA"/>
      </x:bottom>
    </x:border>
    <x:border>
      <x:left style="thin">
        <x:color rgb="FFD9E2EA"/>
      </x:left>
      <x:top style="thin">
        <x:color rgb="FFD9E2EA"/>
      </x:top>
      <x:bottom style="thin">
        <x:color rgb="FFD9E2EA"/>
      </x:bottom>
    </x:border>
    <x:border>
      <x:right style="thin">
        <x:color rgb="FFD9E2EA"/>
      </x:right>
      <x:top style="thin">
        <x:color rgb="FFD9E2EA"/>
      </x:top>
      <x:bottom style="thin">
        <x:color rgb="FFD9E2EA"/>
      </x:bottom>
    </x:border>
    <x:border>
      <x:top style="thin">
        <x:color rgb="FFD9E2EA"/>
      </x:top>
    </x:border>
  </x:borders>
  <x:cellStyleXfs count="1">
    <x:xf numFmtId="0" fontId="0" fillId="0" borderId="0"/>
  </x:cellStyleXfs>
  <x:cellXfs count="203">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center"/>
    </x:xf>
    <x:xf numFmtId="0" fontId="0" fillId="4" borderId="0" xfId="0" applyNumberFormat="1" applyFont="1" applyFill="1" applyBorder="1"/>
    <x:xf numFmtId="0" fontId="1" fillId="4" borderId="0"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wrapText="1"/>
    </x:xf>
    <x:xf numFmtId="0" fontId="1" fillId="4" borderId="1" xfId="0" applyNumberFormat="1" applyFont="1" applyFill="1" applyBorder="1" applyAlignment="1">
      <x:alignment horizontal="center" wrapText="1"/>
    </x:xf>
    <x:xf numFmtId="0" fontId="1" fillId="4" borderId="1" xfId="0" applyNumberFormat="1" applyFont="1" applyFill="1" applyBorder="1" applyAlignment="1">
      <x:alignment horizontal="center" vertical="center" wrapText="1"/>
    </x:xf>
    <x:xf numFmtId="0" fontId="3" fillId="0" borderId="0" xfId="0" applyNumberFormat="1" applyFont="1" applyFill="1" applyBorder="1"/>
    <x:xf numFmtId="0" fontId="3" fillId="0" borderId="2" xfId="0" applyNumberFormat="1" applyFont="1" applyFill="1" applyBorder="1"/>
    <x:xf numFmtId="0" fontId="3" fillId="0" borderId="0" xfId="0" applyNumberFormat="1" applyFont="1" applyFill="1" applyBorder="1" applyAlignment="1">
      <x:alignment wrapText="1"/>
    </x:xf>
    <x:xf numFmtId="0" fontId="3" fillId="0" borderId="2" xfId="0" applyNumberFormat="1" applyFont="1" applyFill="1" applyBorder="1" applyAlignment="1">
      <x:alignment wrapText="1"/>
    </x:xf>
    <x:xf numFmtId="0" fontId="3" fillId="0" borderId="0" xfId="0" applyNumberFormat="1" applyFont="1" applyFill="1" applyBorder="1" applyAlignment="1">
      <x:alignment vertical="top" wrapText="1"/>
    </x:xf>
    <x:xf numFmtId="0" fontId="3" fillId="0" borderId="2" xfId="0" applyNumberFormat="1" applyFont="1" applyFill="1" applyBorder="1" applyAlignment="1">
      <x:alignment vertical="top" wrapText="1"/>
    </x:xf>
    <x:xf numFmtId="0" fontId="3" fillId="0" borderId="0" xfId="0" applyNumberFormat="1" applyFont="1" applyFill="1" applyBorder="1" applyAlignment="1">
      <x:alignment horizontal="center" vertical="top" wrapText="1"/>
    </x:xf>
    <x:xf numFmtId="0" fontId="3" fillId="0" borderId="2" xfId="0" applyNumberFormat="1" applyFont="1" applyFill="1" applyBorder="1" applyAlignment="1">
      <x:alignment horizontal="center" vertical="top" wrapText="1"/>
    </x:xf>
    <x:xf numFmtId="200" fontId="3" fillId="0" borderId="0" xfId="0" applyNumberFormat="1" applyFont="1" applyFill="1" applyBorder="1" applyAlignment="1">
      <x:alignment vertical="top" wrapText="1"/>
    </x:xf>
    <x:xf numFmtId="200" fontId="3" fillId="0" borderId="2" xfId="0" applyNumberFormat="1" applyFont="1" applyFill="1" applyBorder="1" applyAlignment="1">
      <x:alignment vertical="top" wrapText="1"/>
    </x:xf>
    <x:xf numFmtId="201" fontId="3" fillId="0" borderId="0" xfId="0" applyNumberFormat="1" applyFont="1" applyFill="1" applyBorder="1" applyAlignment="1">
      <x:alignment vertical="top" wrapText="1"/>
    </x:xf>
    <x:xf numFmtId="201" fontId="3" fillId="0" borderId="2" xfId="0" applyNumberFormat="1" applyFont="1" applyFill="1" applyBorder="1" applyAlignment="1">
      <x:alignment vertical="top" wrapText="1"/>
    </x:xf>
    <x:xf numFmtId="202" fontId="3" fillId="0" borderId="0" xfId="0" applyNumberFormat="1" applyFont="1" applyFill="1" applyBorder="1" applyAlignment="1">
      <x:alignment vertical="top" wrapText="1"/>
    </x:xf>
    <x:xf numFmtId="0" fontId="1" fillId="4" borderId="0" xfId="0" applyNumberFormat="1" applyFont="1" applyFill="1" applyBorder="1" applyAlignment="1">
      <x:alignment vertical="center"/>
    </x:xf>
    <x:xf numFmtId="0" fontId="1" fillId="2" borderId="3" xfId="0" applyNumberFormat="1" applyFont="1" applyFill="1" applyBorder="1"/>
    <x:xf numFmtId="0" fontId="1" fillId="2" borderId="4" xfId="0" applyNumberFormat="1" applyFont="1" applyFill="1" applyBorder="1"/>
    <x:xf numFmtId="0" fontId="1" fillId="2" borderId="3" xfId="0" applyNumberFormat="1" applyFont="1" applyFill="1" applyBorder="1" applyAlignment="1">
      <x:alignment horizontal="center"/>
    </x:xf>
    <x:xf numFmtId="0" fontId="1" fillId="2" borderId="4" xfId="0" applyNumberFormat="1" applyFont="1" applyFill="1" applyBorder="1" applyAlignment="1">
      <x:alignment horizontal="center"/>
    </x:xf>
    <x:xf numFmtId="0" fontId="1" fillId="2" borderId="3" xfId="0" applyNumberFormat="1" applyFont="1" applyFill="1" applyBorder="1" applyAlignment="1">
      <x:alignment horizontal="center" vertical="center"/>
    </x:xf>
    <x:xf numFmtId="0" fontId="1" fillId="2" borderId="4" xfId="0" applyNumberFormat="1" applyFont="1" applyFill="1" applyBorder="1" applyAlignment="1">
      <x:alignment horizontal="center" vertical="center"/>
    </x:xf>
    <x:xf numFmtId="0" fontId="4" fillId="3" borderId="0" xfId="0" applyNumberFormat="1" applyFont="1" applyFill="1" applyBorder="1"/>
    <x:xf numFmtId="0" fontId="4" fillId="3" borderId="5" xfId="0" applyNumberFormat="1" applyFont="1" applyFill="1" applyBorder="1"/>
    <x:xf numFmtId="0" fontId="4" fillId="3" borderId="6" xfId="0" applyNumberFormat="1" applyFont="1" applyFill="1" applyBorder="1"/>
    <x:xf numFmtId="0" fontId="4" fillId="3" borderId="7" xfId="0" applyNumberFormat="1" applyFont="1" applyFill="1" applyBorder="1"/>
    <x:xf numFmtId="0" fontId="4" fillId="3" borderId="8" xfId="0" applyNumberFormat="1" applyFont="1" applyFill="1" applyBorder="1"/>
    <x:xf numFmtId="0" fontId="4" fillId="3" borderId="9" xfId="0" applyNumberFormat="1" applyFont="1" applyFill="1" applyBorder="1"/>
    <x:xf numFmtId="0" fontId="4" fillId="3" borderId="10" xfId="0" applyNumberFormat="1" applyFont="1" applyFill="1" applyBorder="1"/>
    <x:xf numFmtId="0" fontId="4" fillId="3" borderId="5" xfId="0" applyNumberFormat="1" applyFont="1" applyFill="1" applyBorder="1" applyAlignment="1">
      <x:alignment horizontal="center"/>
    </x:xf>
    <x:xf numFmtId="0" fontId="4" fillId="3" borderId="6" xfId="0" applyNumberFormat="1" applyFont="1" applyFill="1" applyBorder="1" applyAlignment="1">
      <x:alignment horizontal="center"/>
    </x:xf>
    <x:xf numFmtId="0" fontId="4" fillId="3" borderId="7" xfId="0" applyNumberFormat="1" applyFont="1" applyFill="1" applyBorder="1" applyAlignment="1">
      <x:alignment horizontal="center"/>
    </x:xf>
    <x:xf numFmtId="0" fontId="4" fillId="3" borderId="8" xfId="0" applyNumberFormat="1" applyFont="1" applyFill="1" applyBorder="1" applyAlignment="1">
      <x:alignment horizontal="center"/>
    </x:xf>
    <x:xf numFmtId="0" fontId="4" fillId="3" borderId="9" xfId="0" applyNumberFormat="1" applyFont="1" applyFill="1" applyBorder="1" applyAlignment="1">
      <x:alignment horizontal="center"/>
    </x:xf>
    <x:xf numFmtId="0" fontId="4" fillId="3" borderId="10" xfId="0" applyNumberFormat="1" applyFont="1" applyFill="1" applyBorder="1" applyAlignment="1">
      <x:alignment horizontal="center"/>
    </x:xf>
    <x:xf numFmtId="0" fontId="4" fillId="3" borderId="5" xfId="0" applyNumberFormat="1" applyFont="1" applyFill="1" applyBorder="1" applyAlignment="1">
      <x:alignment horizontal="center" vertical="center"/>
    </x:xf>
    <x:xf numFmtId="0" fontId="4" fillId="3" borderId="6" xfId="0" applyNumberFormat="1" applyFont="1" applyFill="1" applyBorder="1" applyAlignment="1">
      <x:alignment horizontal="center" vertical="center"/>
    </x:xf>
    <x:xf numFmtId="0" fontId="4" fillId="3" borderId="7" xfId="0" applyNumberFormat="1" applyFont="1" applyFill="1" applyBorder="1" applyAlignment="1">
      <x:alignment horizontal="center" vertical="center"/>
    </x:xf>
    <x:xf numFmtId="0" fontId="4" fillId="3" borderId="8" xfId="0" applyNumberFormat="1" applyFont="1" applyFill="1" applyBorder="1" applyAlignment="1">
      <x:alignment horizontal="center" vertical="center"/>
    </x:xf>
    <x:xf numFmtId="0" fontId="4" fillId="3" borderId="9" xfId="0" applyNumberFormat="1" applyFont="1" applyFill="1" applyBorder="1" applyAlignment="1">
      <x:alignment horizontal="center" vertical="center"/>
    </x:xf>
    <x:xf numFmtId="0" fontId="4" fillId="3" borderId="10" xfId="0" applyNumberFormat="1" applyFont="1" applyFill="1" applyBorder="1" applyAlignment="1">
      <x:alignment horizontal="center" vertical="center"/>
    </x:xf>
    <x:xf numFmtId="0" fontId="0" fillId="5" borderId="0" xfId="0" applyNumberFormat="1" applyFont="1" applyFill="1" applyBorder="1"/>
    <x:xf numFmtId="0" fontId="5" fillId="5" borderId="0" xfId="0" applyNumberFormat="1" applyFont="1" applyFill="1" applyBorder="1"/>
    <x:xf numFmtId="0" fontId="5" fillId="5" borderId="11" xfId="0" applyNumberFormat="1" applyFont="1" applyFill="1" applyBorder="1"/>
    <x:xf numFmtId="0" fontId="5" fillId="5" borderId="12" xfId="0" applyNumberFormat="1" applyFont="1" applyFill="1" applyBorder="1"/>
    <x:xf numFmtId="0" fontId="5" fillId="5" borderId="11" xfId="0" applyNumberFormat="1" applyFont="1" applyFill="1" applyBorder="1" applyAlignment="1">
      <x:alignment wrapText="1"/>
    </x:xf>
    <x:xf numFmtId="0" fontId="5" fillId="5" borderId="12" xfId="0" applyNumberFormat="1" applyFont="1" applyFill="1" applyBorder="1" applyAlignment="1">
      <x:alignment wrapText="1"/>
    </x:xf>
    <x:xf numFmtId="0" fontId="5" fillId="5" borderId="11" xfId="0" applyNumberFormat="1" applyFont="1" applyFill="1" applyBorder="1" applyAlignment="1">
      <x:alignment horizontal="center" wrapText="1"/>
    </x:xf>
    <x:xf numFmtId="0" fontId="5" fillId="5" borderId="12" xfId="0" applyNumberFormat="1" applyFont="1" applyFill="1" applyBorder="1" applyAlignment="1">
      <x:alignment horizontal="center" wrapText="1"/>
    </x:xf>
    <x:xf numFmtId="0" fontId="5" fillId="5" borderId="11" xfId="0" applyNumberFormat="1" applyFont="1" applyFill="1" applyBorder="1" applyAlignment="1">
      <x:alignment horizontal="center" vertical="center" wrapText="1"/>
    </x:xf>
    <x:xf numFmtId="0" fontId="5" fillId="5" borderId="12" xfId="0" applyNumberFormat="1" applyFont="1" applyFill="1" applyBorder="1" applyAlignment="1">
      <x:alignment horizontal="center" vertical="center" wrapText="1"/>
    </x:xf>
    <x:xf numFmtId="0" fontId="0" fillId="6" borderId="0" xfId="0" applyNumberFormat="1" applyFont="1" applyFill="1" applyBorder="1"/>
    <x:xf numFmtId="0" fontId="6" fillId="6" borderId="0" xfId="0" applyNumberFormat="1" applyFont="1" applyFill="1" applyBorder="1"/>
    <x:xf numFmtId="0" fontId="6" fillId="6" borderId="5" xfId="0" applyNumberFormat="1" applyFont="1" applyFill="1" applyBorder="1"/>
    <x:xf numFmtId="0" fontId="6" fillId="6" borderId="6" xfId="0" applyNumberFormat="1" applyFont="1" applyFill="1" applyBorder="1"/>
    <x:xf numFmtId="0" fontId="6" fillId="6" borderId="7" xfId="0" applyNumberFormat="1" applyFont="1" applyFill="1" applyBorder="1"/>
    <x:xf numFmtId="0" fontId="6" fillId="6" borderId="8" xfId="0" applyNumberFormat="1" applyFont="1" applyFill="1" applyBorder="1"/>
    <x:xf numFmtId="0" fontId="6" fillId="6" borderId="9" xfId="0" applyNumberFormat="1" applyFont="1" applyFill="1" applyBorder="1"/>
    <x:xf numFmtId="0" fontId="6" fillId="6" borderId="10" xfId="0" applyNumberFormat="1" applyFont="1" applyFill="1" applyBorder="1"/>
    <x:xf numFmtId="0" fontId="6" fillId="6" borderId="5" xfId="0" applyNumberFormat="1" applyFont="1" applyFill="1" applyBorder="1" applyAlignment="1">
      <x:alignment horizontal="center"/>
    </x:xf>
    <x:xf numFmtId="0" fontId="6" fillId="6" borderId="6" xfId="0" applyNumberFormat="1" applyFont="1" applyFill="1" applyBorder="1" applyAlignment="1">
      <x:alignment horizontal="center"/>
    </x:xf>
    <x:xf numFmtId="0" fontId="6" fillId="6" borderId="7" xfId="0" applyNumberFormat="1" applyFont="1" applyFill="1" applyBorder="1" applyAlignment="1">
      <x:alignment horizontal="center"/>
    </x:xf>
    <x:xf numFmtId="0" fontId="6" fillId="6" borderId="8" xfId="0" applyNumberFormat="1" applyFont="1" applyFill="1" applyBorder="1" applyAlignment="1">
      <x:alignment horizontal="center"/>
    </x:xf>
    <x:xf numFmtId="0" fontId="6" fillId="6" borderId="9" xfId="0" applyNumberFormat="1" applyFont="1" applyFill="1" applyBorder="1" applyAlignment="1">
      <x:alignment horizontal="center"/>
    </x:xf>
    <x:xf numFmtId="0" fontId="6" fillId="6" borderId="10" xfId="0" applyNumberFormat="1" applyFont="1" applyFill="1" applyBorder="1" applyAlignment="1">
      <x:alignment horizontal="center"/>
    </x:xf>
    <x:xf numFmtId="0" fontId="6" fillId="6" borderId="5" xfId="0" applyNumberFormat="1" applyFont="1" applyFill="1" applyBorder="1" applyAlignment="1">
      <x:alignment horizontal="center" vertical="center"/>
    </x:xf>
    <x:xf numFmtId="0" fontId="6" fillId="6" borderId="6" xfId="0" applyNumberFormat="1" applyFont="1" applyFill="1" applyBorder="1" applyAlignment="1">
      <x:alignment horizontal="center" vertical="center"/>
    </x:xf>
    <x:xf numFmtId="0" fontId="6" fillId="6" borderId="7" xfId="0" applyNumberFormat="1" applyFont="1" applyFill="1" applyBorder="1" applyAlignment="1">
      <x:alignment horizontal="center" vertical="center"/>
    </x:xf>
    <x:xf numFmtId="0" fontId="6" fillId="6" borderId="8" xfId="0" applyNumberFormat="1" applyFont="1" applyFill="1" applyBorder="1" applyAlignment="1">
      <x:alignment horizontal="center" vertical="center"/>
    </x:xf>
    <x:xf numFmtId="0" fontId="6" fillId="6" borderId="9" xfId="0" applyNumberFormat="1" applyFont="1" applyFill="1" applyBorder="1" applyAlignment="1">
      <x:alignment horizontal="center" vertical="center"/>
    </x:xf>
    <x:xf numFmtId="0" fontId="6" fillId="6" borderId="10" xfId="0" applyNumberFormat="1" applyFont="1" applyFill="1" applyBorder="1" applyAlignment="1">
      <x:alignment horizontal="center" vertical="center"/>
    </x:xf>
    <x:xf numFmtId="0" fontId="0" fillId="7" borderId="0" xfId="0" applyNumberFormat="1" applyFont="1" applyFill="1" applyBorder="1"/>
    <x:xf numFmtId="0" fontId="7" fillId="7" borderId="0" xfId="0" applyNumberFormat="1" applyFont="1" applyFill="1" applyBorder="1"/>
    <x:xf numFmtId="0" fontId="7" fillId="7" borderId="5" xfId="0" applyNumberFormat="1" applyFont="1" applyFill="1" applyBorder="1"/>
    <x:xf numFmtId="0" fontId="7" fillId="7" borderId="6" xfId="0" applyNumberFormat="1" applyFont="1" applyFill="1" applyBorder="1"/>
    <x:xf numFmtId="0" fontId="7" fillId="7" borderId="7" xfId="0" applyNumberFormat="1" applyFont="1" applyFill="1" applyBorder="1"/>
    <x:xf numFmtId="0" fontId="7" fillId="7" borderId="8" xfId="0" applyNumberFormat="1" applyFont="1" applyFill="1" applyBorder="1"/>
    <x:xf numFmtId="0" fontId="7" fillId="7" borderId="9" xfId="0" applyNumberFormat="1" applyFont="1" applyFill="1" applyBorder="1"/>
    <x:xf numFmtId="0" fontId="7" fillId="7" borderId="10" xfId="0" applyNumberFormat="1" applyFont="1" applyFill="1" applyBorder="1"/>
    <x:xf numFmtId="0" fontId="7" fillId="7" borderId="5" xfId="0" applyNumberFormat="1" applyFont="1" applyFill="1" applyBorder="1" applyAlignment="1">
      <x:alignment horizontal="center"/>
    </x:xf>
    <x:xf numFmtId="0" fontId="7" fillId="7" borderId="6" xfId="0" applyNumberFormat="1" applyFont="1" applyFill="1" applyBorder="1" applyAlignment="1">
      <x:alignment horizontal="center"/>
    </x:xf>
    <x:xf numFmtId="0" fontId="7" fillId="7" borderId="7" xfId="0" applyNumberFormat="1" applyFont="1" applyFill="1" applyBorder="1" applyAlignment="1">
      <x:alignment horizontal="center"/>
    </x:xf>
    <x:xf numFmtId="0" fontId="7" fillId="7" borderId="8" xfId="0" applyNumberFormat="1" applyFont="1" applyFill="1" applyBorder="1" applyAlignment="1">
      <x:alignment horizontal="center"/>
    </x:xf>
    <x:xf numFmtId="0" fontId="7" fillId="7" borderId="9" xfId="0" applyNumberFormat="1" applyFont="1" applyFill="1" applyBorder="1" applyAlignment="1">
      <x:alignment horizontal="center"/>
    </x:xf>
    <x:xf numFmtId="0" fontId="7" fillId="7" borderId="10" xfId="0" applyNumberFormat="1" applyFont="1" applyFill="1" applyBorder="1" applyAlignment="1">
      <x:alignment horizontal="center"/>
    </x:xf>
    <x:xf numFmtId="0" fontId="7" fillId="7" borderId="5" xfId="0" applyNumberFormat="1" applyFont="1" applyFill="1" applyBorder="1" applyAlignment="1">
      <x:alignment horizontal="center" vertical="center"/>
    </x:xf>
    <x:xf numFmtId="0" fontId="7" fillId="7" borderId="6" xfId="0" applyNumberFormat="1" applyFont="1" applyFill="1" applyBorder="1" applyAlignment="1">
      <x:alignment horizontal="center" vertical="center"/>
    </x:xf>
    <x:xf numFmtId="0" fontId="7" fillId="7" borderId="7" xfId="0" applyNumberFormat="1" applyFont="1" applyFill="1" applyBorder="1" applyAlignment="1">
      <x:alignment horizontal="center" vertical="center"/>
    </x:xf>
    <x:xf numFmtId="0" fontId="7" fillId="7" borderId="8" xfId="0" applyNumberFormat="1" applyFont="1" applyFill="1" applyBorder="1" applyAlignment="1">
      <x:alignment horizontal="center" vertical="center"/>
    </x:xf>
    <x:xf numFmtId="0" fontId="7" fillId="7" borderId="9" xfId="0" applyNumberFormat="1" applyFont="1" applyFill="1" applyBorder="1" applyAlignment="1">
      <x:alignment horizontal="center" vertical="center"/>
    </x:xf>
    <x:xf numFmtId="0" fontId="7" fillId="7" borderId="10" xfId="0" applyNumberFormat="1" applyFont="1" applyFill="1" applyBorder="1" applyAlignment="1">
      <x:alignment horizontal="center" vertical="center"/>
    </x:xf>
    <x:xf numFmtId="0" fontId="0" fillId="8" borderId="0" xfId="0" applyNumberFormat="1" applyFont="1" applyFill="1" applyBorder="1"/>
    <x:xf numFmtId="0" fontId="8" fillId="8" borderId="0" xfId="0" applyNumberFormat="1" applyFont="1" applyFill="1" applyBorder="1"/>
    <x:xf numFmtId="0" fontId="8" fillId="8" borderId="5" xfId="0" applyNumberFormat="1" applyFont="1" applyFill="1" applyBorder="1"/>
    <x:xf numFmtId="0" fontId="8" fillId="8" borderId="6" xfId="0" applyNumberFormat="1" applyFont="1" applyFill="1" applyBorder="1"/>
    <x:xf numFmtId="0" fontId="8" fillId="8" borderId="7" xfId="0" applyNumberFormat="1" applyFont="1" applyFill="1" applyBorder="1"/>
    <x:xf numFmtId="0" fontId="8" fillId="8" borderId="8" xfId="0" applyNumberFormat="1" applyFont="1" applyFill="1" applyBorder="1"/>
    <x:xf numFmtId="0" fontId="8" fillId="8" borderId="9" xfId="0" applyNumberFormat="1" applyFont="1" applyFill="1" applyBorder="1"/>
    <x:xf numFmtId="0" fontId="8" fillId="8" borderId="10" xfId="0" applyNumberFormat="1" applyFont="1" applyFill="1" applyBorder="1"/>
    <x:xf numFmtId="0" fontId="8" fillId="8" borderId="5" xfId="0" applyNumberFormat="1" applyFont="1" applyFill="1" applyBorder="1" applyAlignment="1">
      <x:alignment horizontal="center"/>
    </x:xf>
    <x:xf numFmtId="0" fontId="8" fillId="8" borderId="6" xfId="0" applyNumberFormat="1" applyFont="1" applyFill="1" applyBorder="1" applyAlignment="1">
      <x:alignment horizontal="center"/>
    </x:xf>
    <x:xf numFmtId="0" fontId="8" fillId="8" borderId="7" xfId="0" applyNumberFormat="1" applyFont="1" applyFill="1" applyBorder="1" applyAlignment="1">
      <x:alignment horizontal="center"/>
    </x:xf>
    <x:xf numFmtId="0" fontId="8" fillId="8" borderId="8" xfId="0" applyNumberFormat="1" applyFont="1" applyFill="1" applyBorder="1" applyAlignment="1">
      <x:alignment horizontal="center"/>
    </x:xf>
    <x:xf numFmtId="0" fontId="8" fillId="8" borderId="9" xfId="0" applyNumberFormat="1" applyFont="1" applyFill="1" applyBorder="1" applyAlignment="1">
      <x:alignment horizontal="center"/>
    </x:xf>
    <x:xf numFmtId="0" fontId="8" fillId="8" borderId="10" xfId="0" applyNumberFormat="1" applyFont="1" applyFill="1" applyBorder="1" applyAlignment="1">
      <x:alignment horizontal="center"/>
    </x:xf>
    <x:xf numFmtId="0" fontId="8" fillId="8" borderId="5" xfId="0" applyNumberFormat="1" applyFont="1" applyFill="1" applyBorder="1" applyAlignment="1">
      <x:alignment horizontal="center" vertical="center"/>
    </x:xf>
    <x:xf numFmtId="0" fontId="8" fillId="8" borderId="6" xfId="0" applyNumberFormat="1" applyFont="1" applyFill="1" applyBorder="1" applyAlignment="1">
      <x:alignment horizontal="center" vertical="center"/>
    </x:xf>
    <x:xf numFmtId="0" fontId="8" fillId="8" borderId="7" xfId="0" applyNumberFormat="1" applyFont="1" applyFill="1" applyBorder="1" applyAlignment="1">
      <x:alignment horizontal="center" vertical="center"/>
    </x:xf>
    <x:xf numFmtId="0" fontId="8" fillId="8" borderId="8" xfId="0" applyNumberFormat="1" applyFont="1" applyFill="1" applyBorder="1" applyAlignment="1">
      <x:alignment horizontal="center" vertical="center"/>
    </x:xf>
    <x:xf numFmtId="0" fontId="8" fillId="8" borderId="9" xfId="0" applyNumberFormat="1" applyFont="1" applyFill="1" applyBorder="1" applyAlignment="1">
      <x:alignment horizontal="center" vertical="center"/>
    </x:xf>
    <x:xf numFmtId="0" fontId="8" fillId="8" borderId="10" xfId="0" applyNumberFormat="1" applyFont="1" applyFill="1" applyBorder="1" applyAlignment="1">
      <x:alignment horizontal="center" vertical="center"/>
    </x:xf>
    <x:xf numFmtId="0" fontId="0" fillId="9" borderId="0" xfId="0" applyNumberFormat="1" applyFont="1" applyFill="1" applyBorder="1"/>
    <x:xf numFmtId="0" fontId="9" fillId="9" borderId="0" xfId="0" applyNumberFormat="1" applyFont="1" applyFill="1" applyBorder="1"/>
    <x:xf numFmtId="0" fontId="9" fillId="9" borderId="5" xfId="0" applyNumberFormat="1" applyFont="1" applyFill="1" applyBorder="1"/>
    <x:xf numFmtId="0" fontId="9" fillId="9" borderId="6" xfId="0" applyNumberFormat="1" applyFont="1" applyFill="1" applyBorder="1"/>
    <x:xf numFmtId="0" fontId="9" fillId="9" borderId="7" xfId="0" applyNumberFormat="1" applyFont="1" applyFill="1" applyBorder="1"/>
    <x:xf numFmtId="0" fontId="9" fillId="9" borderId="8" xfId="0" applyNumberFormat="1" applyFont="1" applyFill="1" applyBorder="1"/>
    <x:xf numFmtId="0" fontId="9" fillId="9" borderId="9" xfId="0" applyNumberFormat="1" applyFont="1" applyFill="1" applyBorder="1"/>
    <x:xf numFmtId="0" fontId="9" fillId="9" borderId="10" xfId="0" applyNumberFormat="1" applyFont="1" applyFill="1" applyBorder="1"/>
    <x:xf numFmtId="0" fontId="9" fillId="9" borderId="5" xfId="0" applyNumberFormat="1" applyFont="1" applyFill="1" applyBorder="1" applyAlignment="1">
      <x:alignment horizontal="center"/>
    </x:xf>
    <x:xf numFmtId="0" fontId="9" fillId="9" borderId="6" xfId="0" applyNumberFormat="1" applyFont="1" applyFill="1" applyBorder="1" applyAlignment="1">
      <x:alignment horizontal="center"/>
    </x:xf>
    <x:xf numFmtId="0" fontId="9" fillId="9" borderId="7" xfId="0" applyNumberFormat="1" applyFont="1" applyFill="1" applyBorder="1" applyAlignment="1">
      <x:alignment horizontal="center"/>
    </x:xf>
    <x:xf numFmtId="0" fontId="9" fillId="9" borderId="8" xfId="0" applyNumberFormat="1" applyFont="1" applyFill="1" applyBorder="1" applyAlignment="1">
      <x:alignment horizontal="center"/>
    </x:xf>
    <x:xf numFmtId="0" fontId="9" fillId="9" borderId="9" xfId="0" applyNumberFormat="1" applyFont="1" applyFill="1" applyBorder="1" applyAlignment="1">
      <x:alignment horizontal="center"/>
    </x:xf>
    <x:xf numFmtId="0" fontId="9" fillId="9" borderId="10" xfId="0" applyNumberFormat="1" applyFont="1" applyFill="1" applyBorder="1" applyAlignment="1">
      <x:alignment horizontal="center"/>
    </x:xf>
    <x:xf numFmtId="0" fontId="9" fillId="9" borderId="5" xfId="0" applyNumberFormat="1" applyFont="1" applyFill="1" applyBorder="1" applyAlignment="1">
      <x:alignment horizontal="center" vertical="center"/>
    </x:xf>
    <x:xf numFmtId="0" fontId="9" fillId="9" borderId="6" xfId="0" applyNumberFormat="1" applyFont="1" applyFill="1" applyBorder="1" applyAlignment="1">
      <x:alignment horizontal="center" vertical="center"/>
    </x:xf>
    <x:xf numFmtId="0" fontId="9" fillId="9" borderId="7" xfId="0" applyNumberFormat="1" applyFont="1" applyFill="1" applyBorder="1" applyAlignment="1">
      <x:alignment horizontal="center" vertical="center"/>
    </x:xf>
    <x:xf numFmtId="0" fontId="9" fillId="9" borderId="8" xfId="0" applyNumberFormat="1" applyFont="1" applyFill="1" applyBorder="1" applyAlignment="1">
      <x:alignment horizontal="center" vertical="center"/>
    </x:xf>
    <x:xf numFmtId="0" fontId="9" fillId="9" borderId="9" xfId="0" applyNumberFormat="1" applyFont="1" applyFill="1" applyBorder="1" applyAlignment="1">
      <x:alignment horizontal="center" vertical="center"/>
    </x:xf>
    <x:xf numFmtId="0" fontId="9" fillId="9" borderId="10" xfId="0" applyNumberFormat="1" applyFont="1" applyFill="1" applyBorder="1" applyAlignment="1">
      <x:alignment horizontal="center" vertical="center"/>
    </x:xf>
    <x:xf numFmtId="201" fontId="7" fillId="7" borderId="5" xfId="0" applyNumberFormat="1" applyFont="1" applyFill="1" applyBorder="1" applyAlignment="1">
      <x:alignment horizontal="center" vertical="center"/>
    </x:xf>
    <x:xf numFmtId="201" fontId="9" fillId="9" borderId="5" xfId="0" applyNumberFormat="1" applyFont="1" applyFill="1" applyBorder="1" applyAlignment="1">
      <x:alignment horizontal="center" vertical="center"/>
    </x:xf>
    <x:xf numFmtId="0" fontId="3" fillId="0" borderId="2" xfId="0" applyNumberFormat="1" applyFont="1" applyFill="1" applyBorder="1" applyAlignment="1">
      <x:alignment vertical="center" wrapText="1"/>
    </x:xf>
    <x:xf numFmtId="0" fontId="10" fillId="3" borderId="0" xfId="0" applyNumberFormat="1" applyFont="1" applyFill="1" applyBorder="1"/>
    <x:xf numFmtId="0" fontId="10" fillId="3" borderId="5" xfId="0" applyNumberFormat="1" applyFont="1" applyFill="1" applyBorder="1"/>
    <x:xf numFmtId="0" fontId="10" fillId="3" borderId="13" xfId="0" applyNumberFormat="1" applyFont="1" applyFill="1" applyBorder="1"/>
    <x:xf numFmtId="0" fontId="10" fillId="3" borderId="6" xfId="0" applyNumberFormat="1" applyFont="1" applyFill="1" applyBorder="1"/>
    <x:xf numFmtId="0" fontId="10" fillId="3" borderId="9" xfId="0" applyNumberFormat="1" applyFont="1" applyFill="1" applyBorder="1"/>
    <x:xf numFmtId="0" fontId="10" fillId="3" borderId="2" xfId="0" applyNumberFormat="1" applyFont="1" applyFill="1" applyBorder="1"/>
    <x:xf numFmtId="0" fontId="10" fillId="3" borderId="10" xfId="0" applyNumberFormat="1" applyFont="1" applyFill="1" applyBorder="1"/>
    <x:xf numFmtId="0" fontId="10" fillId="3" borderId="5" xfId="0" applyNumberFormat="1" applyFont="1" applyFill="1" applyBorder="1" applyAlignment="1">
      <x:alignment wrapText="1"/>
    </x:xf>
    <x:xf numFmtId="0" fontId="10" fillId="3" borderId="13" xfId="0" applyNumberFormat="1" applyFont="1" applyFill="1" applyBorder="1" applyAlignment="1">
      <x:alignment wrapText="1"/>
    </x:xf>
    <x:xf numFmtId="0" fontId="10" fillId="3" borderId="6" xfId="0" applyNumberFormat="1" applyFont="1" applyFill="1" applyBorder="1" applyAlignment="1">
      <x:alignment wrapText="1"/>
    </x:xf>
    <x:xf numFmtId="0" fontId="10" fillId="3" borderId="9" xfId="0" applyNumberFormat="1" applyFont="1" applyFill="1" applyBorder="1" applyAlignment="1">
      <x:alignment wrapText="1"/>
    </x:xf>
    <x:xf numFmtId="0" fontId="10" fillId="3" borderId="2" xfId="0" applyNumberFormat="1" applyFont="1" applyFill="1" applyBorder="1" applyAlignment="1">
      <x:alignment wrapText="1"/>
    </x:xf>
    <x:xf numFmtId="0" fontId="10" fillId="3" borderId="10" xfId="0" applyNumberFormat="1" applyFont="1" applyFill="1" applyBorder="1" applyAlignment="1">
      <x:alignment wrapText="1"/>
    </x:xf>
    <x:xf numFmtId="0" fontId="10" fillId="3" borderId="5" xfId="0" applyNumberFormat="1" applyFont="1" applyFill="1" applyBorder="1" applyAlignment="1">
      <x:alignment vertical="center" wrapText="1"/>
    </x:xf>
    <x:xf numFmtId="0" fontId="10" fillId="3" borderId="13" xfId="0" applyNumberFormat="1" applyFont="1" applyFill="1" applyBorder="1" applyAlignment="1">
      <x:alignment vertical="center" wrapText="1"/>
    </x:xf>
    <x:xf numFmtId="0" fontId="10" fillId="3" borderId="6" xfId="0" applyNumberFormat="1" applyFont="1" applyFill="1" applyBorder="1" applyAlignment="1">
      <x:alignment vertical="center" wrapText="1"/>
    </x:xf>
    <x:xf numFmtId="0" fontId="10" fillId="3" borderId="9" xfId="0" applyNumberFormat="1" applyFont="1" applyFill="1" applyBorder="1" applyAlignment="1">
      <x:alignment vertical="center" wrapText="1"/>
    </x:xf>
    <x:xf numFmtId="0" fontId="10" fillId="3" borderId="2" xfId="0" applyNumberFormat="1" applyFont="1" applyFill="1" applyBorder="1" applyAlignment="1">
      <x:alignment vertical="center" wrapText="1"/>
    </x:xf>
    <x:xf numFmtId="0" fontId="10" fillId="3" borderId="10" xfId="0" applyNumberFormat="1" applyFont="1" applyFill="1" applyBorder="1" applyAlignment="1">
      <x:alignment vertical="center" wrapText="1"/>
    </x:xf>
    <x:xf numFmtId="0" fontId="0" fillId="10" borderId="0" xfId="0" applyNumberFormat="1" applyFont="1" applyFill="1" applyBorder="1"/>
    <x:xf numFmtId="0" fontId="5" fillId="10" borderId="0" xfId="0" applyNumberFormat="1" applyFont="1" applyFill="1" applyBorder="1"/>
    <x:xf numFmtId="0" fontId="5" fillId="10" borderId="0" xfId="0" applyNumberFormat="1" applyFont="1" applyFill="1" applyBorder="1" applyAlignment="1">
      <x:alignment wrapText="1"/>
    </x:xf>
    <x:xf numFmtId="0" fontId="3" fillId="5" borderId="0" xfId="0" applyNumberFormat="1" applyFont="1" applyFill="1" applyBorder="1"/>
    <x:xf numFmtId="0" fontId="3" fillId="5" borderId="5" xfId="0" applyNumberFormat="1" applyFont="1" applyFill="1" applyBorder="1"/>
    <x:xf numFmtId="0" fontId="3" fillId="5" borderId="13" xfId="0" applyNumberFormat="1" applyFont="1" applyFill="1" applyBorder="1"/>
    <x:xf numFmtId="0" fontId="3" fillId="5" borderId="6" xfId="0" applyNumberFormat="1" applyFont="1" applyFill="1" applyBorder="1"/>
    <x:xf numFmtId="0" fontId="3" fillId="5" borderId="7" xfId="0" applyNumberFormat="1" applyFont="1" applyFill="1" applyBorder="1"/>
    <x:xf numFmtId="0" fontId="3" fillId="5" borderId="8" xfId="0" applyNumberFormat="1" applyFont="1" applyFill="1" applyBorder="1"/>
    <x:xf numFmtId="0" fontId="3" fillId="5" borderId="9" xfId="0" applyNumberFormat="1" applyFont="1" applyFill="1" applyBorder="1"/>
    <x:xf numFmtId="0" fontId="3" fillId="5" borderId="2" xfId="0" applyNumberFormat="1" applyFont="1" applyFill="1" applyBorder="1"/>
    <x:xf numFmtId="0" fontId="3" fillId="5" borderId="10" xfId="0" applyNumberFormat="1" applyFont="1" applyFill="1" applyBorder="1"/>
    <x:xf numFmtId="0" fontId="3" fillId="5" borderId="5" xfId="0" applyNumberFormat="1" applyFont="1" applyFill="1" applyBorder="1" applyAlignment="1">
      <x:alignment wrapText="1"/>
    </x:xf>
    <x:xf numFmtId="0" fontId="3" fillId="5" borderId="13" xfId="0" applyNumberFormat="1" applyFont="1" applyFill="1" applyBorder="1" applyAlignment="1">
      <x:alignment wrapText="1"/>
    </x:xf>
    <x:xf numFmtId="0" fontId="3" fillId="5" borderId="6" xfId="0" applyNumberFormat="1" applyFont="1" applyFill="1" applyBorder="1" applyAlignment="1">
      <x:alignment wrapText="1"/>
    </x:xf>
    <x:xf numFmtId="0" fontId="3" fillId="5" borderId="7" xfId="0" applyNumberFormat="1" applyFont="1" applyFill="1" applyBorder="1" applyAlignment="1">
      <x:alignment wrapText="1"/>
    </x:xf>
    <x:xf numFmtId="0" fontId="3" fillId="5" borderId="0" xfId="0" applyNumberFormat="1" applyFont="1" applyFill="1" applyBorder="1" applyAlignment="1">
      <x:alignment wrapText="1"/>
    </x:xf>
    <x:xf numFmtId="0" fontId="3" fillId="5" borderId="8" xfId="0" applyNumberFormat="1" applyFont="1" applyFill="1" applyBorder="1" applyAlignment="1">
      <x:alignment wrapText="1"/>
    </x:xf>
    <x:xf numFmtId="0" fontId="3" fillId="5" borderId="9" xfId="0" applyNumberFormat="1" applyFont="1" applyFill="1" applyBorder="1" applyAlignment="1">
      <x:alignment wrapText="1"/>
    </x:xf>
    <x:xf numFmtId="0" fontId="3" fillId="5" borderId="2" xfId="0" applyNumberFormat="1" applyFont="1" applyFill="1" applyBorder="1" applyAlignment="1">
      <x:alignment wrapText="1"/>
    </x:xf>
    <x:xf numFmtId="0" fontId="3" fillId="5" borderId="10" xfId="0" applyNumberFormat="1" applyFont="1" applyFill="1" applyBorder="1" applyAlignment="1">
      <x:alignment wrapText="1"/>
    </x:xf>
    <x:xf numFmtId="0" fontId="3" fillId="5" borderId="5" xfId="0" applyNumberFormat="1" applyFont="1" applyFill="1" applyBorder="1" applyAlignment="1">
      <x:alignment vertical="center" wrapText="1"/>
    </x:xf>
    <x:xf numFmtId="0" fontId="3" fillId="5" borderId="13" xfId="0" applyNumberFormat="1" applyFont="1" applyFill="1" applyBorder="1" applyAlignment="1">
      <x:alignment vertical="center" wrapText="1"/>
    </x:xf>
    <x:xf numFmtId="0" fontId="3" fillId="5" borderId="6" xfId="0" applyNumberFormat="1" applyFont="1" applyFill="1" applyBorder="1" applyAlignment="1">
      <x:alignment vertical="center" wrapText="1"/>
    </x:xf>
    <x:xf numFmtId="0" fontId="3" fillId="5" borderId="7" xfId="0" applyNumberFormat="1" applyFont="1" applyFill="1" applyBorder="1" applyAlignment="1">
      <x:alignment vertical="center" wrapText="1"/>
    </x:xf>
    <x:xf numFmtId="0" fontId="3" fillId="5" borderId="0" xfId="0" applyNumberFormat="1" applyFont="1" applyFill="1" applyBorder="1" applyAlignment="1">
      <x:alignment vertical="center" wrapText="1"/>
    </x:xf>
    <x:xf numFmtId="0" fontId="3" fillId="5" borderId="8" xfId="0" applyNumberFormat="1" applyFont="1" applyFill="1" applyBorder="1" applyAlignment="1">
      <x:alignment vertical="center" wrapText="1"/>
    </x:xf>
    <x:xf numFmtId="0" fontId="3" fillId="5" borderId="9" xfId="0" applyNumberFormat="1" applyFont="1" applyFill="1" applyBorder="1" applyAlignment="1">
      <x:alignment vertical="center" wrapText="1"/>
    </x:xf>
    <x:xf numFmtId="0" fontId="3" fillId="5" borderId="2" xfId="0" applyNumberFormat="1" applyFont="1" applyFill="1" applyBorder="1" applyAlignment="1">
      <x:alignment vertical="center" wrapText="1"/>
    </x:xf>
    <x:xf numFmtId="0" fontId="3" fillId="5" borderId="10" xfId="0" applyNumberFormat="1" applyFont="1" applyFill="1" applyBorder="1" applyAlignment="1">
      <x:alignment vertical="center" wrapText="1"/>
    </x:xf>
    <x:xf numFmtId="0" fontId="10" fillId="3" borderId="7" xfId="0" applyNumberFormat="1" applyFont="1" applyFill="1" applyBorder="1"/>
    <x:xf numFmtId="0" fontId="10" fillId="3" borderId="8" xfId="0" applyNumberFormat="1" applyFont="1" applyFill="1" applyBorder="1"/>
    <x:xf numFmtId="0" fontId="10" fillId="3" borderId="7" xfId="0" applyNumberFormat="1" applyFont="1" applyFill="1" applyBorder="1" applyAlignment="1">
      <x:alignment wrapText="1"/>
    </x:xf>
    <x:xf numFmtId="0" fontId="10" fillId="3" borderId="0" xfId="0" applyNumberFormat="1" applyFont="1" applyFill="1" applyBorder="1" applyAlignment="1">
      <x:alignment wrapText="1"/>
    </x:xf>
    <x:xf numFmtId="0" fontId="10" fillId="3" borderId="8" xfId="0" applyNumberFormat="1" applyFont="1" applyFill="1" applyBorder="1" applyAlignment="1">
      <x:alignment wrapText="1"/>
    </x:xf>
    <x:xf numFmtId="0" fontId="10" fillId="3" borderId="7" xfId="0" applyNumberFormat="1" applyFont="1" applyFill="1" applyBorder="1" applyAlignment="1">
      <x:alignment vertical="center" wrapText="1"/>
    </x:xf>
    <x:xf numFmtId="0" fontId="10" fillId="3" borderId="0" xfId="0" applyNumberFormat="1" applyFont="1" applyFill="1" applyBorder="1" applyAlignment="1">
      <x:alignment vertical="center" wrapText="1"/>
    </x:xf>
    <x:xf numFmtId="0" fontId="10" fillId="3" borderId="8" xfId="0" applyNumberFormat="1" applyFont="1" applyFill="1" applyBorder="1" applyAlignment="1">
      <x:alignment vertical="center" wrapText="1"/>
    </x:xf>
    <x:xf numFmtId="0" fontId="5" fillId="10" borderId="0" xfId="0" applyNumberFormat="1" applyFont="1" applyFill="1" applyBorder="1" applyAlignment="1">
      <x:alignment vertical="center" wrapText="1"/>
    </x:xf>
  </x:cellXfs>
  <x:cellStyles count="1">
    <x:cellStyle name="Normal" xfId="0"/>
  </x:cellStyles>
  <x:dxfs count="74">
    <x:dxf>
      <x:font>
        <x:b/>
        <x:color rgb="FF991B1B"/>
      </x:font>
      <x:fill>
        <x:patternFill patternType="solid">
          <x:bgColor rgb="FFFEE2E2"/>
        </x:patternFill>
      </x:fill>
    </x:dxf>
    <x:dxf>
      <x:font>
        <x:b/>
        <x:color rgb="FF9A3412"/>
      </x:font>
      <x:fill>
        <x:patternFill patternType="solid">
          <x:bgColor rgb="FFFFEDD5"/>
        </x:patternFill>
      </x:fill>
    </x:dxf>
    <x:dxf>
      <x:font>
        <x:color rgb="FF854D0E"/>
      </x:font>
      <x:fill>
        <x:patternFill patternType="solid">
          <x:bgColor rgb="FFFEF3C7"/>
        </x:patternFill>
      </x:fill>
    </x:dxf>
    <x:dxf>
      <x:font>
        <x:color rgb="FF166534"/>
      </x:font>
      <x:fill>
        <x:patternFill patternType="solid">
          <x:bgColor rgb="FFDCFCE7"/>
        </x:patternFill>
      </x:fill>
    </x:dxf>
    <x:dxf>
      <x:font>
        <x:color rgb="FF166534"/>
      </x:font>
      <x:fill>
        <x:patternFill patternType="solid">
          <x:bgColor rgb="FFDCFCE7"/>
        </x:patternFill>
      </x:fill>
    </x:dxf>
    <x:dxf>
      <x:font>
        <x:color rgb="FF991B1B"/>
      </x:font>
      <x:fill>
        <x:patternFill patternType="solid">
          <x:bgColor rgb="FFFEE2E2"/>
        </x:patternFill>
      </x:fill>
    </x:dxf>
    <x:dxf>
      <x:font>
        <x:b/>
        <x:color rgb="FF991B1B"/>
      </x:font>
      <x:fill>
        <x:patternFill patternType="solid">
          <x:bgColor rgb="FFFEE2E2"/>
        </x:patternFill>
      </x:fill>
    </x:dxf>
    <x:dxf>
      <x:font>
        <x:b/>
        <x:color rgb="FF9A3412"/>
      </x:font>
      <x:fill>
        <x:patternFill patternType="solid">
          <x:bgColor rgb="FFFFEDD5"/>
        </x:patternFill>
      </x:fill>
    </x:dxf>
    <x:dxf>
      <x:font>
        <x:color rgb="FF854D0E"/>
      </x:font>
      <x:fill>
        <x:patternFill patternType="solid">
          <x:bgColor rgb="FFFEF3C7"/>
        </x:patternFill>
      </x:fill>
    </x:dxf>
    <x:dxf>
      <x:font>
        <x:color rgb="FF166534"/>
      </x:font>
      <x:fill>
        <x:patternFill patternType="solid">
          <x:bgColor rgb="FFDCFCE7"/>
        </x:patternFill>
      </x:fill>
    </x:dxf>
    <x:dxf>
      <x:font>
        <x:color rgb="FF166534"/>
      </x:font>
      <x:fill>
        <x:patternFill patternType="solid">
          <x:bgColor rgb="FFDCFCE7"/>
        </x:patternFill>
      </x:fill>
    </x:dxf>
    <x:dxf>
      <x:font>
        <x:color rgb="FF991B1B"/>
      </x:font>
      <x:fill>
        <x:patternFill patternType="solid">
          <x:bgColor rgb="FFFEE2E2"/>
        </x:patternFill>
      </x:fill>
    </x:dxf>
    <x:dxf>
      <x:font>
        <x:b/>
        <x:color rgb="FF991B1B"/>
      </x:font>
      <x:fill>
        <x:patternFill patternType="solid">
          <x:bgColor rgb="FFFEE2E2"/>
        </x:patternFill>
      </x:fill>
    </x:dxf>
    <x:dxf>
      <x:font>
        <x:b/>
        <x:color rgb="FF9A3412"/>
      </x:font>
      <x:fill>
        <x:patternFill patternType="solid">
          <x:bgColor rgb="FFFFEDD5"/>
        </x:patternFill>
      </x:fill>
    </x:dxf>
    <x:dxf>
      <x:font>
        <x:color rgb="FF854D0E"/>
      </x:font>
      <x:fill>
        <x:patternFill patternType="solid">
          <x:bgColor rgb="FFFEF3C7"/>
        </x:patternFill>
      </x:fill>
    </x:dxf>
    <x:dxf>
      <x:font>
        <x:color rgb="FF166534"/>
      </x:font>
      <x:fill>
        <x:patternFill patternType="solid">
          <x:bgColor rgb="FFDCFCE7"/>
        </x:patternFill>
      </x:fill>
    </x:dxf>
    <x:dxf>
      <x:font>
        <x:color rgb="FF166534"/>
      </x:font>
      <x:fill>
        <x:patternFill patternType="solid">
          <x:bgColor rgb="FFDCFCE7"/>
        </x:patternFill>
      </x:fill>
    </x:dxf>
    <x:dxf>
      <x:font>
        <x:color rgb="FF991B1B"/>
      </x:font>
      <x:fill>
        <x:patternFill patternType="solid">
          <x:bgColor rgb="FFFEE2E2"/>
        </x:patternFill>
      </x:fill>
    </x:dxf>
    <x:dxf>
      <x:font>
        <x:b/>
        <x:color rgb="FF991B1B"/>
      </x:font>
      <x:fill>
        <x:patternFill patternType="solid">
          <x:bgColor rgb="FFFEE2E2"/>
        </x:patternFill>
      </x:fill>
    </x:dxf>
    <x:dxf>
      <x:font>
        <x:b/>
        <x:color rgb="FF9A3412"/>
      </x:font>
      <x:fill>
        <x:patternFill patternType="solid">
          <x:bgColor rgb="FFFFEDD5"/>
        </x:patternFill>
      </x:fill>
    </x:dxf>
    <x:dxf>
      <x:font>
        <x:color rgb="FF854D0E"/>
      </x:font>
      <x:fill>
        <x:patternFill patternType="solid">
          <x:bgColor rgb="FFFEF3C7"/>
        </x:patternFill>
      </x:fill>
    </x:dxf>
    <x:dxf>
      <x:font>
        <x:color rgb="FF166534"/>
      </x:font>
      <x:fill>
        <x:patternFill patternType="solid">
          <x:bgColor rgb="FFDCFCE7"/>
        </x:patternFill>
      </x:fill>
    </x:dxf>
    <x:dxf>
      <x:font>
        <x:color rgb="FF166534"/>
      </x:font>
      <x:fill>
        <x:patternFill patternType="solid">
          <x:bgColor rgb="FFDCFCE7"/>
        </x:patternFill>
      </x:fill>
    </x:dxf>
    <x:dxf>
      <x:font>
        <x:color rgb="FF991B1B"/>
      </x:font>
      <x:fill>
        <x:patternFill patternType="solid">
          <x:bgColor rgb="FFFEE2E2"/>
        </x:patternFill>
      </x:fill>
    </x:dxf>
    <x:dxf>
      <x:font>
        <x:b/>
        <x:color rgb="FF991B1B"/>
      </x:font>
      <x:fill>
        <x:patternFill patternType="solid">
          <x:bgColor rgb="FFFEE2E2"/>
        </x:patternFill>
      </x:fill>
    </x:dxf>
    <x:dxf>
      <x:font>
        <x:b/>
        <x:color rgb="FF9A3412"/>
      </x:font>
      <x:fill>
        <x:patternFill patternType="solid">
          <x:bgColor rgb="FFFFEDD5"/>
        </x:patternFill>
      </x:fill>
    </x:dxf>
    <x:dxf>
      <x:font>
        <x:color rgb="FF854D0E"/>
      </x:font>
      <x:fill>
        <x:patternFill patternType="solid">
          <x:bgColor rgb="FFFEF3C7"/>
        </x:patternFill>
      </x:fill>
    </x:dxf>
    <x:dxf>
      <x:font>
        <x:color rgb="FF166534"/>
      </x:font>
      <x:fill>
        <x:patternFill patternType="solid">
          <x:bgColor rgb="FFDCFCE7"/>
        </x:patternFill>
      </x:fill>
    </x:dxf>
    <x:dxf>
      <x:font>
        <x:color rgb="FF166534"/>
      </x:font>
      <x:fill>
        <x:patternFill patternType="solid">
          <x:bgColor rgb="FFDCFCE7"/>
        </x:patternFill>
      </x:fill>
    </x:dxf>
    <x:dxf>
      <x:font>
        <x:color rgb="FF991B1B"/>
      </x:font>
      <x:fill>
        <x:patternFill patternType="solid">
          <x:bgColor rgb="FFFEE2E2"/>
        </x:patternFill>
      </x:fill>
    </x:dxf>
    <x:dxf>
      <x:font>
        <x:b/>
        <x:color rgb="FF991B1B"/>
      </x:font>
      <x:fill>
        <x:patternFill patternType="solid">
          <x:bgColor rgb="FFFEE2E2"/>
        </x:patternFill>
      </x:fill>
    </x:dxf>
    <x:dxf>
      <x:font>
        <x:b/>
        <x:color rgb="FF9A3412"/>
      </x:font>
      <x:fill>
        <x:patternFill patternType="solid">
          <x:bgColor rgb="FFFFEDD5"/>
        </x:patternFill>
      </x:fill>
    </x:dxf>
    <x:dxf>
      <x:font>
        <x:color rgb="FF854D0E"/>
      </x:font>
      <x:fill>
        <x:patternFill patternType="solid">
          <x:bgColor rgb="FFFEF3C7"/>
        </x:patternFill>
      </x:fill>
    </x:dxf>
    <x:dxf>
      <x:font>
        <x:color rgb="FF166534"/>
      </x:font>
      <x:fill>
        <x:patternFill patternType="solid">
          <x:bgColor rgb="FFDCFCE7"/>
        </x:patternFill>
      </x:fill>
    </x:dxf>
    <x:dxf>
      <x:font>
        <x:color rgb="FF166534"/>
      </x:font>
      <x:fill>
        <x:patternFill patternType="solid">
          <x:bgColor rgb="FFDCFCE7"/>
        </x:patternFill>
      </x:fill>
    </x:dxf>
    <x:dxf>
      <x:font>
        <x:color rgb="FF991B1B"/>
      </x:font>
      <x:fill>
        <x:patternFill patternType="solid">
          <x:bgColor rgb="FFFEE2E2"/>
        </x:patternFill>
      </x:fill>
    </x:dxf>
    <x:dxf>
      <x:font>
        <x:b/>
        <x:color rgb="FF991B1B"/>
      </x:font>
      <x:fill>
        <x:patternFill patternType="solid">
          <x:bgColor rgb="FFFEE2E2"/>
        </x:patternFill>
      </x:fill>
    </x:dxf>
    <x:dxf>
      <x:font>
        <x:b/>
        <x:color rgb="FF9A3412"/>
      </x:font>
      <x:fill>
        <x:patternFill patternType="solid">
          <x:bgColor rgb="FFFFEDD5"/>
        </x:patternFill>
      </x:fill>
    </x:dxf>
    <x:dxf>
      <x:font>
        <x:color rgb="FF854D0E"/>
      </x:font>
      <x:fill>
        <x:patternFill patternType="solid">
          <x:bgColor rgb="FFFEF3C7"/>
        </x:patternFill>
      </x:fill>
    </x:dxf>
    <x:dxf>
      <x:font>
        <x:color rgb="FF166534"/>
      </x:font>
      <x:fill>
        <x:patternFill patternType="solid">
          <x:bgColor rgb="FFDCFCE7"/>
        </x:patternFill>
      </x:fill>
    </x:dxf>
    <x:dxf>
      <x:font>
        <x:color rgb="FF166534"/>
      </x:font>
      <x:fill>
        <x:patternFill patternType="solid">
          <x:bgColor rgb="FFDCFCE7"/>
        </x:patternFill>
      </x:fill>
    </x:dxf>
    <x:dxf>
      <x:font>
        <x:color rgb="FF991B1B"/>
      </x:font>
      <x:fill>
        <x:patternFill patternType="solid">
          <x:bgColor rgb="FFFEE2E2"/>
        </x:patternFill>
      </x:fill>
    </x:dxf>
    <x:dxf>
      <x:font>
        <x:b/>
        <x:color rgb="FF991B1B"/>
      </x:font>
      <x:fill>
        <x:patternFill patternType="solid">
          <x:bgColor rgb="FFFEE2E2"/>
        </x:patternFill>
      </x:fill>
    </x:dxf>
    <x:dxf>
      <x:font>
        <x:b/>
        <x:color rgb="FF9A3412"/>
      </x:font>
      <x:fill>
        <x:patternFill patternType="solid">
          <x:bgColor rgb="FFFFEDD5"/>
        </x:patternFill>
      </x:fill>
    </x:dxf>
    <x:dxf>
      <x:font>
        <x:color rgb="FF854D0E"/>
      </x:font>
      <x:fill>
        <x:patternFill patternType="solid">
          <x:bgColor rgb="FFFEF3C7"/>
        </x:patternFill>
      </x:fill>
    </x:dxf>
    <x:dxf>
      <x:font>
        <x:color rgb="FF166534"/>
      </x:font>
      <x:fill>
        <x:patternFill patternType="solid">
          <x:bgColor rgb="FFDCFCE7"/>
        </x:patternFill>
      </x:fill>
    </x:dxf>
    <x:dxf>
      <x:font>
        <x:color rgb="FF166534"/>
      </x:font>
      <x:fill>
        <x:patternFill patternType="solid">
          <x:bgColor rgb="FFDCFCE7"/>
        </x:patternFill>
      </x:fill>
    </x:dxf>
    <x:dxf>
      <x:font>
        <x:color rgb="FF991B1B"/>
      </x:font>
      <x:fill>
        <x:patternFill patternType="solid">
          <x:bgColor rgb="FFFEE2E2"/>
        </x:patternFill>
      </x:fill>
    </x:dxf>
    <x:dxf>
      <x:font>
        <x:b/>
        <x:color rgb="FF991B1B"/>
      </x:font>
      <x:fill>
        <x:patternFill patternType="solid">
          <x:bgColor rgb="FFFEE2E2"/>
        </x:patternFill>
      </x:fill>
    </x:dxf>
    <x:dxf>
      <x:font>
        <x:b/>
        <x:color rgb="FF9A3412"/>
      </x:font>
      <x:fill>
        <x:patternFill patternType="solid">
          <x:bgColor rgb="FFFFEDD5"/>
        </x:patternFill>
      </x:fill>
    </x:dxf>
    <x:dxf>
      <x:font>
        <x:color rgb="FF854D0E"/>
      </x:font>
      <x:fill>
        <x:patternFill patternType="solid">
          <x:bgColor rgb="FFFEF3C7"/>
        </x:patternFill>
      </x:fill>
    </x:dxf>
    <x:dxf>
      <x:font>
        <x:color rgb="FF166534"/>
      </x:font>
      <x:fill>
        <x:patternFill patternType="solid">
          <x:bgColor rgb="FFDCFCE7"/>
        </x:patternFill>
      </x:fill>
    </x:dxf>
    <x:dxf>
      <x:font>
        <x:color rgb="FF166534"/>
      </x:font>
      <x:fill>
        <x:patternFill patternType="solid">
          <x:bgColor rgb="FFDCFCE7"/>
        </x:patternFill>
      </x:fill>
    </x:dxf>
    <x:dxf>
      <x:font>
        <x:color rgb="FF991B1B"/>
      </x:font>
      <x:fill>
        <x:patternFill patternType="solid">
          <x:bgColor rgb="FFFEE2E2"/>
        </x:patternFill>
      </x:fill>
    </x:dxf>
    <x:dxf>
      <x:font>
        <x:b/>
        <x:color rgb="FF991B1B"/>
      </x:font>
      <x:fill>
        <x:patternFill patternType="solid">
          <x:bgColor rgb="FFFEE2E2"/>
        </x:patternFill>
      </x:fill>
    </x:dxf>
    <x:dxf>
      <x:font>
        <x:b/>
        <x:color rgb="FF9A3412"/>
      </x:font>
      <x:fill>
        <x:patternFill patternType="solid">
          <x:bgColor rgb="FFFFEDD5"/>
        </x:patternFill>
      </x:fill>
    </x:dxf>
    <x:dxf>
      <x:font>
        <x:color rgb="FF854D0E"/>
      </x:font>
      <x:fill>
        <x:patternFill patternType="solid">
          <x:bgColor rgb="FFFEF3C7"/>
        </x:patternFill>
      </x:fill>
    </x:dxf>
    <x:dxf>
      <x:font>
        <x:color rgb="FF166534"/>
      </x:font>
      <x:fill>
        <x:patternFill patternType="solid">
          <x:bgColor rgb="FFDCFCE7"/>
        </x:patternFill>
      </x:fill>
    </x:dxf>
    <x:dxf>
      <x:font>
        <x:color rgb="FF166534"/>
      </x:font>
      <x:fill>
        <x:patternFill patternType="solid">
          <x:bgColor rgb="FFDCFCE7"/>
        </x:patternFill>
      </x:fill>
    </x:dxf>
    <x:dxf>
      <x:font>
        <x:color rgb="FF991B1B"/>
      </x:font>
      <x:fill>
        <x:patternFill patternType="solid">
          <x:bgColor rgb="FFFEE2E2"/>
        </x:patternFill>
      </x:fill>
    </x:dxf>
    <x:dxf>
      <x:font>
        <x:b/>
        <x:color rgb="FF991B1B"/>
      </x:font>
      <x:fill>
        <x:patternFill patternType="solid">
          <x:bgColor rgb="FFFEE2E2"/>
        </x:patternFill>
      </x:fill>
    </x:dxf>
    <x:dxf>
      <x:font>
        <x:b/>
        <x:color rgb="FF9A3412"/>
      </x:font>
      <x:fill>
        <x:patternFill patternType="solid">
          <x:bgColor rgb="FFFFEDD5"/>
        </x:patternFill>
      </x:fill>
    </x:dxf>
    <x:dxf>
      <x:font>
        <x:color rgb="FF854D0E"/>
      </x:font>
      <x:fill>
        <x:patternFill patternType="solid">
          <x:bgColor rgb="FFFEF3C7"/>
        </x:patternFill>
      </x:fill>
    </x:dxf>
    <x:dxf>
      <x:font>
        <x:color rgb="FF166534"/>
      </x:font>
      <x:fill>
        <x:patternFill patternType="solid">
          <x:bgColor rgb="FFDCFCE7"/>
        </x:patternFill>
      </x:fill>
    </x:dxf>
    <x:dxf>
      <x:font>
        <x:color rgb="FF166534"/>
      </x:font>
      <x:fill>
        <x:patternFill patternType="solid">
          <x:bgColor rgb="FFDCFCE7"/>
        </x:patternFill>
      </x:fill>
    </x:dxf>
    <x:dxf>
      <x:font>
        <x:color rgb="FF991B1B"/>
      </x:font>
      <x:fill>
        <x:patternFill patternType="solid">
          <x:bgColor rgb="FFFEE2E2"/>
        </x:patternFill>
      </x:fill>
    </x:dxf>
    <x:dxf>
      <x:font>
        <x:b/>
        <x:color rgb="FF991B1B"/>
      </x:font>
      <x:fill>
        <x:patternFill patternType="solid">
          <x:bgColor rgb="FFFEE2E2"/>
        </x:patternFill>
      </x:fill>
    </x:dxf>
    <x:dxf>
      <x:font>
        <x:b/>
        <x:color rgb="FF9A3412"/>
      </x:font>
      <x:fill>
        <x:patternFill patternType="solid">
          <x:bgColor rgb="FFFFEDD5"/>
        </x:patternFill>
      </x:fill>
    </x:dxf>
    <x:dxf>
      <x:font>
        <x:color rgb="FF854D0E"/>
      </x:font>
      <x:fill>
        <x:patternFill patternType="solid">
          <x:bgColor rgb="FFFEF3C7"/>
        </x:patternFill>
      </x:fill>
    </x:dxf>
    <x:dxf>
      <x:font>
        <x:color rgb="FF166534"/>
      </x:font>
      <x:fill>
        <x:patternFill patternType="solid">
          <x:bgColor rgb="FFDCFCE7"/>
        </x:patternFill>
      </x:fill>
    </x:dxf>
    <x:dxf>
      <x:font>
        <x:color rgb="FF166534"/>
      </x:font>
      <x:fill>
        <x:patternFill patternType="solid">
          <x:bgColor rgb="FFDCFCE7"/>
        </x:patternFill>
      </x:fill>
    </x:dxf>
    <x:dxf>
      <x:font>
        <x:color rgb="FF991B1B"/>
      </x:font>
      <x:fill>
        <x:patternFill patternType="solid">
          <x:bgColor rgb="FFFEE2E2"/>
        </x:patternFill>
      </x:fill>
    </x:dxf>
    <x:dxf>
      <x:font>
        <x:b/>
        <x:color rgb="FF991B1B"/>
      </x:font>
      <x:fill>
        <x:patternFill patternType="solid">
          <x:bgColor rgb="FFFEE2E2"/>
        </x:patternFill>
      </x:fill>
    </x:dxf>
    <x:dxf>
      <x:font>
        <x:b/>
        <x:color rgb="FF9A3412"/>
      </x:font>
      <x:fill>
        <x:patternFill patternType="solid">
          <x:bgColor rgb="FFFFEDD5"/>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4317b6e45b3f4313" /><Relationship Type="http://schemas.openxmlformats.org/officeDocument/2006/relationships/theme" Target="/xl/theme/theme1.xml" Id="R85f2c82789234b57" /><Relationship Type="http://schemas.openxmlformats.org/officeDocument/2006/relationships/sharedStrings" Target="/xl/sharedStrings.xml" Id="Rc8c18260166a44ae" /><Relationship Type="http://schemas.openxmlformats.org/officeDocument/2006/relationships/worksheet" Target="/xl/worksheets/sheet1.xml" Id="R4070fd0f6c654b7a" /><Relationship Type="http://schemas.openxmlformats.org/officeDocument/2006/relationships/worksheet" Target="/xl/worksheets/sheet2.xml" Id="R844fefe6e0f24150" /><Relationship Type="http://schemas.openxmlformats.org/officeDocument/2006/relationships/worksheet" Target="/xl/worksheets/sheet3.xml" Id="R2b0b22315a314aa0" /><Relationship Type="http://schemas.openxmlformats.org/officeDocument/2006/relationships/worksheet" Target="/xl/worksheets/sheet4.xml" Id="R20a550d4bef94195" /><Relationship Type="http://schemas.openxmlformats.org/officeDocument/2006/relationships/worksheet" Target="/xl/worksheets/sheet5.xml" Id="Re4124f73bd384215" /><Relationship Type="http://schemas.openxmlformats.org/officeDocument/2006/relationships/worksheet" Target="/xl/worksheets/sheet6.xml" Id="R0c3490f298924ad8" /><Relationship Type="http://schemas.openxmlformats.org/officeDocument/2006/relationships/worksheet" Target="/xl/worksheets/sheet7.xml" Id="R13d2377775dc4312" /><Relationship Type="http://schemas.openxmlformats.org/officeDocument/2006/relationships/worksheet" Target="/xl/worksheets/sheet8.xml" Id="R2db4cb0a13574e7f" /></Relationships>
</file>

<file path=xl/drawings/_rels/drawing1.xml.rels>&#65279;<?xml version="1.0" encoding="utf-8"?><Relationships xmlns="http://schemas.openxmlformats.org/package/2006/relationships"><Relationship Type="http://schemas.openxmlformats.org/officeDocument/2006/relationships/chart" Target="/xl/drawings/charts/chart1.xml" Id="R80ba6051d2304364" /><Relationship Type="http://schemas.openxmlformats.org/officeDocument/2006/relationships/chart" Target="/xl/drawings/charts/chart2.xml" Id="R8abfd95c57724ae3" /><Relationship Type="http://schemas.openxmlformats.org/officeDocument/2006/relationships/chart" Target="/xl/drawings/charts/chart3.xml" Id="R23927eaf00524766" /><Relationship Type="http://schemas.openxmlformats.org/officeDocument/2006/relationships/chart" Target="/xl/drawings/charts/chart4.xml" Id="R5d7b143b382e4cab"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Residual Risk Concentration (Count)</a:t>
            </a:r>
          </a:p>
        </c:rich>
      </c:tx>
      <c:overlay val="0"/>
    </c:title>
    <c:plotArea>
      <c:barChart>
        <c:barDir val="col"/>
        <c:varyColors val="0"/>
        <c:ser>
          <c:idx val="0"/>
          <c:order val="0"/>
          <c:tx>
            <c:v>Risks</c:v>
          </c:tx>
          <c:cat>
            <c:strRef>
              <c:f>'Metrics'!$A$15:$A$18</c:f>
              <c:strCache>
                <c:ptCount val="0"/>
              </c:strCache>
            </c:strRef>
          </c:cat>
          <c:val>
            <c:numRef>
              <c:f>'Metrics'!$B$15:$B$18</c:f>
              <c:numCache>
                <c:formatCode>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675"/>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NIST CSF Maturity by Function (%)</a:t>
            </a:r>
          </a:p>
        </c:rich>
      </c:tx>
      <c:overlay val="0"/>
    </c:title>
    <c:plotArea>
      <c:barChart>
        <c:barDir val="col"/>
        <c:varyColors val="0"/>
        <c:ser>
          <c:idx val="0"/>
          <c:order val="0"/>
          <c:tx>
            <c:v>Maturity</c:v>
          </c:tx>
          <c:cat>
            <c:strRef>
              <c:f>'Metrics'!$D$15:$D$20</c:f>
              <c:strCache>
                <c:ptCount val="0"/>
              </c:strCache>
            </c:strRef>
          </c:cat>
          <c:val>
            <c:numRef>
              <c:f>'Metrics'!$E$15:$E$20</c:f>
              <c:numCache>
                <c:formatCode>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675"/>
            </a:pPr>
          </a:p>
        </c:txPr>
        <c:crossAx val="48672768"/>
      </c:catAx>
      <c:valAx>
        <c:axId val="48672768"/>
        <c:scaling>
          <c:orientation val="minMax"/>
          <c:max val="1"/>
          <c:min val="0"/>
        </c:scaling>
        <c:delete val="0"/>
        <c:axPos val="l"/>
        <c:majorGridlines>
          <c:spPr>
            <a:ln xmlns:a="http://schemas.openxmlformats.org/drawingml/2006/main" w="9525">
              <a:solidFill>
                <a:srgbClr val="CCCCCC"/>
              </a:solidFill>
              <a:prstDash val="dash"/>
            </a:ln>
          </c:spPr>
        </c:majorGridlines>
        <c:numFmt formatCode="0%"/>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Quarterly Access Decisions (Records)</a:t>
            </a:r>
          </a:p>
        </c:rich>
      </c:tx>
      <c:overlay val="0"/>
    </c:title>
    <c:plotArea>
      <c:doughnutChart>
        <c:ser>
          <c:idx val="0"/>
          <c:order val="0"/>
          <c:tx>
            <c:v>Records</c:v>
          </c:tx>
          <c:cat>
            <c:strRef>
              <c:f>'Metrics'!$G$15:$G$18</c:f>
              <c:strCache>
                <c:ptCount val="0"/>
              </c:strCache>
            </c:strRef>
          </c:cat>
          <c:val>
            <c:numRef>
              <c:f>'Metrics'!$H$15:$H$18</c:f>
              <c:numCache>
                <c:formatCode>General</c:formatCode>
                <c:ptCount val="0"/>
              </c:numCache>
            </c:numRef>
          </c:val>
        </c:ser>
      </c:doughnutChart>
    </c:plotArea>
    <c:legend>
      <c:legendPos val="b"/>
      <c:overlay val="0"/>
    </c:legend>
    <c:plotVisOnly val="1"/>
  </c:chart>
  <c:spPr>
    <a:ln xmlns:a="http://schemas.openxmlformats.org/drawingml/2006/main" w="9525">
      <a:solidFill>
        <a:srgbClr val="D9D9D9"/>
      </a:solidFill>
      <a:prstDash val="solid"/>
    </a:ln>
  </c:spPr>
</c:chartSpace>
</file>

<file path=xl/drawings/charts/chart4.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Material Findings by Source (Count)</a:t>
            </a:r>
          </a:p>
        </c:rich>
      </c:tx>
      <c:overlay val="0"/>
    </c:title>
    <c:plotArea>
      <c:barChart>
        <c:barDir val="col"/>
        <c:varyColors val="0"/>
        <c:ser>
          <c:idx val="0"/>
          <c:order val="0"/>
          <c:tx>
            <c:v>Critical</c:v>
          </c:tx>
          <c:cat>
            <c:strRef>
              <c:f>'Metrics'!$J$15:$J$16</c:f>
              <c:strCache>
                <c:ptCount val="0"/>
              </c:strCache>
            </c:strRef>
          </c:cat>
          <c:val>
            <c:numRef>
              <c:f>'Metrics'!$K$15:$K$16</c:f>
              <c:numCache>
                <c:formatCode>0</c:formatCode>
                <c:ptCount val="0"/>
              </c:numCache>
            </c:numRef>
          </c:val>
        </c:ser>
        <c:ser>
          <c:idx val="1"/>
          <c:order val="1"/>
          <c:tx>
            <c:v>High</c:v>
          </c:tx>
          <c:cat>
            <c:strRef>
              <c:f>'Metrics'!$J$15:$J$16</c:f>
              <c:strCache>
                <c:ptCount val="0"/>
              </c:strCache>
            </c:strRef>
          </c:cat>
          <c:val>
            <c:numRef>
              <c:f>'Metrics'!$L$15:$L$16</c:f>
              <c:numCache>
                <c:formatCode>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675"/>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0</xdr:col>
      <xdr:colOff>0</xdr:colOff>
      <xdr:row>12</xdr:row>
      <xdr:rowOff>0</xdr:rowOff>
    </xdr:from>
    <xdr:to>
      <xdr:col>7</xdr:col>
      <xdr:colOff>0</xdr:colOff>
      <xdr:row>27</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80ba6051d2304364"/>
        </a:graphicData>
      </a:graphic>
    </xdr:graphicFrame>
    <xdr:clientData/>
  </xdr:twoCellAnchor>
  <xdr:twoCellAnchor>
    <xdr:from>
      <xdr:col>7</xdr:col>
      <xdr:colOff>0</xdr:colOff>
      <xdr:row>12</xdr:row>
      <xdr:rowOff>0</xdr:rowOff>
    </xdr:from>
    <xdr:to>
      <xdr:col>14</xdr:col>
      <xdr:colOff>0</xdr:colOff>
      <xdr:row>27</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8abfd95c57724ae3"/>
        </a:graphicData>
      </a:graphic>
    </xdr:graphicFrame>
    <xdr:clientData/>
  </xdr:twoCellAnchor>
  <xdr:twoCellAnchor>
    <xdr:from>
      <xdr:col>0</xdr:col>
      <xdr:colOff>0</xdr:colOff>
      <xdr:row>28</xdr:row>
      <xdr:rowOff>0</xdr:rowOff>
    </xdr:from>
    <xdr:to>
      <xdr:col>7</xdr:col>
      <xdr:colOff>0</xdr:colOff>
      <xdr:row>43</xdr:row>
      <xdr:rowOff>0</xdr:rowOff>
    </xdr:to>
    <xdr:graphicFrame macro="">
      <xdr:nvGraphicFramePr>
        <xdr:cNvPr id="3"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23927eaf00524766"/>
        </a:graphicData>
      </a:graphic>
    </xdr:graphicFrame>
    <xdr:clientData/>
  </xdr:twoCellAnchor>
  <xdr:twoCellAnchor>
    <xdr:from>
      <xdr:col>7</xdr:col>
      <xdr:colOff>0</xdr:colOff>
      <xdr:row>28</xdr:row>
      <xdr:rowOff>0</xdr:rowOff>
    </xdr:from>
    <xdr:to>
      <xdr:col>14</xdr:col>
      <xdr:colOff>0</xdr:colOff>
      <xdr:row>43</xdr:row>
      <xdr:rowOff>0</xdr:rowOff>
    </xdr:to>
    <xdr:graphicFrame macro="">
      <xdr:nvGraphicFramePr>
        <xdr:cNvPr id="4"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5d7b143b382e4cab"/>
        </a:graphicData>
      </a:graphic>
    </xdr:graphicFrame>
    <xdr:clientData/>
  </xdr:twoCellAnchor>
</xdr:wsDr>
</file>

<file path=xl/tables/table1.xml><?xml version="1.0" encoding="utf-8"?>
<x:table xmlns:x="http://schemas.openxmlformats.org/spreadsheetml/2006/main" id="1" name="DashboardRiskData" displayName="DashboardRiskData" ref="A4:Q19" headerRowCount="1" totalsRowCount="0" totalsRowShown="0">
  <x:autoFilter ref="A4:Q19"/>
  <x:tableColumns count="17">
    <x:tableColumn id="1" name="Risk ID"/>
    <x:tableColumn id="2" name="Category"/>
    <x:tableColumn id="3" name="Risk Statement"/>
    <x:tableColumn id="4" name="Inherent Likelihood"/>
    <x:tableColumn id="5" name="Inherent Impact"/>
    <x:tableColumn id="6" name="Inherent Score"/>
    <x:tableColumn id="7" name="Inherent Rating"/>
    <x:tableColumn id="8" name="Residual Likelihood"/>
    <x:tableColumn id="9" name="Residual Impact"/>
    <x:tableColumn id="10" name="Residual Score"/>
    <x:tableColumn id="11" name="Residual Rating"/>
    <x:tableColumn id="12" name="Owner"/>
    <x:tableColumn id="13" name="Status"/>
    <x:tableColumn id="14" name="Target Date"/>
    <x:tableColumn id="15" name="Treatment"/>
    <x:tableColumn id="16" name="Recommended Actions"/>
    <x:tableColumn id="17" name="Risk Reduction"/>
  </x:tableColumns>
  <x:tableStyleInfo name="TableStyleMedium2" showFirstColumn="0" showLastColumn="0" showRowStripes="1" showColumnStripes="0"/>
</x:table>
</file>

<file path=xl/tables/table2.xml><?xml version="1.0" encoding="utf-8"?>
<x:table xmlns:x="http://schemas.openxmlformats.org/spreadsheetml/2006/main" id="2" name="DashboardControlData" displayName="DashboardControlData" ref="A4:J26" headerRowCount="1" totalsRowCount="0" totalsRowShown="0">
  <x:autoFilter ref="A4:J26"/>
  <x:tableColumns count="10">
    <x:tableColumn id="1" name="CSF ID"/>
    <x:tableColumn id="2" name="Function"/>
    <x:tableColumn id="3" name="Category"/>
    <x:tableColumn id="4" name="Expected Outcome"/>
    <x:tableColumn id="5" name="Current Status"/>
    <x:tableColumn id="6" name="Gap Identified"/>
    <x:tableColumn id="7" name="Recommended Action"/>
    <x:tableColumn id="8" name="Control Owner"/>
    <x:tableColumn id="9" name="Priority"/>
    <x:tableColumn id="10" name="Related Risks"/>
  </x:tableColumns>
  <x:tableStyleInfo name="TableStyleMedium2" showFirstColumn="0" showLastColumn="0" showRowStripes="1" showColumnStripes="0"/>
</x:table>
</file>

<file path=xl/tables/table3.xml><?xml version="1.0" encoding="utf-8"?>
<x:table xmlns:x="http://schemas.openxmlformats.org/spreadsheetml/2006/main" id="3" name="DashboardVendorData" displayName="DashboardVendorData" ref="A4:M29" headerRowCount="1" totalsRowCount="0" totalsRowShown="0">
  <x:autoFilter ref="A4:M29"/>
  <x:tableColumns count="13">
    <x:tableColumn id="1" name="Question ID"/>
    <x:tableColumn id="2" name="Domain"/>
    <x:tableColumn id="3" name="Control Question"/>
    <x:tableColumn id="4" name="Weight"/>
    <x:tableColumn id="5" name="Response"/>
    <x:tableColumn id="6" name="Evidence Quality"/>
    <x:tableColumn id="7" name="Response Score"/>
    <x:tableColumn id="8" name="Weighted Points"/>
    <x:tableColumn id="9" name="Maximum Points"/>
    <x:tableColumn id="10" name="Control Score"/>
    <x:tableColumn id="11" name="Risk Flag"/>
    <x:tableColumn id="12" name="Owner"/>
    <x:tableColumn id="13" name="Status"/>
  </x:tableColumns>
  <x:tableStyleInfo name="TableStyleMedium2" showFirstColumn="0" showLastColumn="0" showRowStripes="1" showColumnStripes="0"/>
</x:table>
</file>

<file path=xl/tables/table4.xml><?xml version="1.0" encoding="utf-8"?>
<x:table xmlns:x="http://schemas.openxmlformats.org/spreadsheetml/2006/main" id="4" name="DashboardAccessData" displayName="DashboardAccessData" ref="A4:O32" headerRowCount="1" totalsRowCount="0" totalsRowShown="0">
  <x:autoFilter ref="A4:O32"/>
  <x:tableColumns count="15">
    <x:tableColumn id="1" name="Record ID"/>
    <x:tableColumn id="2" name="Name / Account"/>
    <x:tableColumn id="3" name="Account Type"/>
    <x:tableColumn id="4" name="Department"/>
    <x:tableColumn id="5" name="Employment Status"/>
    <x:tableColumn id="6" name="System"/>
    <x:tableColumn id="7" name="Privilege Level"/>
    <x:tableColumn id="8" name="Data Access"/>
    <x:tableColumn id="9" name="MFA"/>
    <x:tableColumn id="10" name="Current Need?"/>
    <x:tableColumn id="11" name="Reviewer Decision"/>
    <x:tableColumn id="12" name="Exception?"/>
    <x:tableColumn id="13" name="Action Owner"/>
    <x:tableColumn id="14" name="Due Date"/>
    <x:tableColumn id="15" name="Remediation Status"/>
  </x:tableColumns>
  <x:tableStyleInfo name="TableStyleMedium2" showFirstColumn="0" showLastColumn="0" showRowStripes="1" showColumnStripes="0"/>
</x:table>
</file>

<file path=xl/tables/table5.xml><?xml version="1.0" encoding="utf-8"?>
<x:table xmlns:x="http://schemas.openxmlformats.org/spreadsheetml/2006/main" id="5" name="DashboardFindingsData" displayName="DashboardFindingsData" ref="A4:N18" headerRowCount="1" totalsRowCount="0" totalsRowShown="0">
  <x:autoFilter ref="A4:N18"/>
  <x:tableColumns count="14">
    <x:tableColumn id="1" name="Source"/>
    <x:tableColumn id="2" name="Finding ID"/>
    <x:tableColumn id="3" name="Domain"/>
    <x:tableColumn id="4" name="Finding"/>
    <x:tableColumn id="5" name="Likelihood"/>
    <x:tableColumn id="6" name="Impact"/>
    <x:tableColumn id="7" name="Risk Score"/>
    <x:tableColumn id="8" name="Rating"/>
    <x:tableColumn id="9" name="Owner"/>
    <x:tableColumn id="10" name="Target Date"/>
    <x:tableColumn id="11" name="Status"/>
    <x:tableColumn id="12" name="Residual Score"/>
    <x:tableColumn id="13" name="Residual Rating"/>
    <x:tableColumn id="14" name="Corrective Action"/>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8651b89870f24959" /></Relationships>
</file>

<file path=xl/worksheets/_rels/sheet3.xml.rels>&#65279;<?xml version="1.0" encoding="utf-8"?><Relationships xmlns="http://schemas.openxmlformats.org/package/2006/relationships"><Relationship Type="http://schemas.openxmlformats.org/officeDocument/2006/relationships/table" Target="/xl/tables/table1.xml" Id="Rc772f82c47434ca2" /></Relationships>
</file>

<file path=xl/worksheets/_rels/sheet4.xml.rels>&#65279;<?xml version="1.0" encoding="utf-8"?><Relationships xmlns="http://schemas.openxmlformats.org/package/2006/relationships"><Relationship Type="http://schemas.openxmlformats.org/officeDocument/2006/relationships/table" Target="/xl/tables/table2.xml" Id="R8dca64c5eb564bb2" /></Relationships>
</file>

<file path=xl/worksheets/_rels/sheet5.xml.rels>&#65279;<?xml version="1.0" encoding="utf-8"?><Relationships xmlns="http://schemas.openxmlformats.org/package/2006/relationships"><Relationship Type="http://schemas.openxmlformats.org/officeDocument/2006/relationships/table" Target="/xl/tables/table3.xml" Id="R5d7edf3cc5544650" /></Relationships>
</file>

<file path=xl/worksheets/_rels/sheet6.xml.rels>&#65279;<?xml version="1.0" encoding="utf-8"?><Relationships xmlns="http://schemas.openxmlformats.org/package/2006/relationships"><Relationship Type="http://schemas.openxmlformats.org/officeDocument/2006/relationships/table" Target="/xl/tables/table4.xml" Id="R3fdf3a6bf4dd4001" /></Relationships>
</file>

<file path=xl/worksheets/_rels/sheet7.xml.rels>&#65279;<?xml version="1.0" encoding="utf-8"?><Relationships xmlns="http://schemas.openxmlformats.org/package/2006/relationships"><Relationship Type="http://schemas.openxmlformats.org/officeDocument/2006/relationships/table" Target="/xl/tables/table5.xml" Id="R7e6bf37f5cee4520" /></Relationships>
</file>

<file path=xl/worksheets/sheet1.xml><?xml version="1.0" encoding="utf-8"?>
<x:worksheet xmlns:x="http://schemas.openxmlformats.org/spreadsheetml/2006/main">
  <x:sheetViews>
    <x:sheetView showGridLines="0" workbookViewId="0"/>
  </x:sheetViews>
  <x:sheetFormatPr defaultRowHeight="15"/>
  <x:cols>
    <x:col min="1" max="1" width="14" hidden="0" customWidth="1"/>
    <x:col min="2" max="2" width="12" hidden="0" customWidth="1"/>
    <x:col min="3" max="3" width="12" hidden="0" customWidth="1"/>
    <x:col min="4" max="4" width="12" hidden="0" customWidth="1"/>
    <x:col min="5" max="5" width="13" hidden="0" customWidth="1"/>
    <x:col min="6" max="6" width="13" hidden="0" customWidth="1"/>
    <x:col min="7" max="7" width="13" hidden="0" customWidth="1"/>
    <x:col min="8" max="8" width="13" hidden="0" customWidth="1"/>
    <x:col min="9" max="9" width="13" hidden="0" customWidth="1"/>
    <x:col min="10" max="10" width="12" hidden="0" customWidth="1"/>
    <x:col min="11" max="11" width="12" hidden="0" customWidth="1"/>
    <x:col min="12" max="12" width="12" hidden="0" customWidth="1"/>
    <x:col min="13" max="13" width="12" hidden="0" customWidth="1"/>
    <x:col min="14" max="14" width="12" hidden="0" customWidth="1"/>
  </x:cols>
  <x:sheetData>
    <x:row r="1" ht="32" customHeight="1">
      <x:c r="A1" s="3" t="str">
        <x:v>Trainory | GRC Analytics Dashboard</x:v>
      </x:c>
      <x:c r="B1" s="3" t="str">
        <x:v>Trainory | GRC Analytics Dashboard</x:v>
      </x:c>
      <x:c r="C1" s="3" t="str">
        <x:v>Trainory | GRC Analytics Dashboard</x:v>
      </x:c>
      <x:c r="D1" s="3" t="str">
        <x:v>Trainory | GRC Analytics Dashboard</x:v>
      </x:c>
      <x:c r="E1" s="3" t="str">
        <x:v>Trainory | GRC Analytics Dashboard</x:v>
      </x:c>
      <x:c r="F1" s="3" t="str">
        <x:v>Trainory | GRC Analytics Dashboard</x:v>
      </x:c>
      <x:c r="G1" s="3" t="str">
        <x:v>Trainory | GRC Analytics Dashboard</x:v>
      </x:c>
      <x:c r="H1" s="3" t="str">
        <x:v>Trainory | GRC Analytics Dashboard</x:v>
      </x:c>
      <x:c r="I1" s="3" t="str">
        <x:v>Trainory | GRC Analytics Dashboard</x:v>
      </x:c>
      <x:c r="J1" s="3" t="str">
        <x:v>Trainory | GRC Analytics Dashboard</x:v>
      </x:c>
      <x:c r="K1" s="3" t="str">
        <x:v>Trainory | GRC Analytics Dashboard</x:v>
      </x:c>
      <x:c r="L1" s="3" t="str">
        <x:v>Trainory | GRC Analytics Dashboard</x:v>
      </x:c>
      <x:c r="M1" s="3" t="str">
        <x:v>Trainory | GRC Analytics Dashboard</x:v>
      </x:c>
      <x:c r="N1" s="3" t="str">
        <x:v>Trainory | GRC Analytics Dashboard</x:v>
      </x:c>
    </x:row>
    <x:row r="2" ht="24" customHeight="1">
      <x:c r="A2" s="6" t="str">
        <x:v>Step 9 | Executive view of risk, control maturity, vendor assurance, and access governance</x:v>
      </x:c>
      <x:c r="B2" s="6" t="str">
        <x:v>Step 9 | Executive view of risk, control maturity, vendor assurance, and access governance</x:v>
      </x:c>
      <x:c r="C2" s="6" t="str">
        <x:v>Step 9 | Executive view of risk, control maturity, vendor assurance, and access governance</x:v>
      </x:c>
      <x:c r="D2" s="6" t="str">
        <x:v>Step 9 | Executive view of risk, control maturity, vendor assurance, and access governance</x:v>
      </x:c>
      <x:c r="E2" s="6" t="str">
        <x:v>Step 9 | Executive view of risk, control maturity, vendor assurance, and access governance</x:v>
      </x:c>
      <x:c r="F2" s="6" t="str">
        <x:v>Step 9 | Executive view of risk, control maturity, vendor assurance, and access governance</x:v>
      </x:c>
      <x:c r="G2" s="6" t="str">
        <x:v>Step 9 | Executive view of risk, control maturity, vendor assurance, and access governance</x:v>
      </x:c>
      <x:c r="H2" s="6" t="str">
        <x:v>Step 9 | Executive view of risk, control maturity, vendor assurance, and access governance</x:v>
      </x:c>
      <x:c r="I2" s="6" t="str">
        <x:v>Step 9 | Executive view of risk, control maturity, vendor assurance, and access governance</x:v>
      </x:c>
      <x:c r="J2" s="6" t="str">
        <x:v>Step 9 | Executive view of risk, control maturity, vendor assurance, and access governance</x:v>
      </x:c>
      <x:c r="K2" s="6" t="str">
        <x:v>Step 9 | Executive view of risk, control maturity, vendor assurance, and access governance</x:v>
      </x:c>
      <x:c r="L2" s="6" t="str">
        <x:v>Step 9 | Executive view of risk, control maturity, vendor assurance, and access governance</x:v>
      </x:c>
      <x:c r="M2" s="6" t="str">
        <x:v>Step 9 | Executive view of risk, control maturity, vendor assurance, and access governance</x:v>
      </x:c>
      <x:c r="N2" s="6" t="str">
        <x:v>Step 9 | Executive view of risk, control maturity, vendor assurance, and access governance</x:v>
      </x:c>
    </x:row>
    <x:row r="4">
      <x:c r="A4" s="26" t="str">
        <x:v>EXECUTIVE SNAPSHOT</x:v>
      </x:c>
      <x:c r="B4" s="26"/>
      <x:c r="C4" s="26"/>
      <x:c r="D4" s="26"/>
      <x:c r="E4" s="26"/>
      <x:c r="F4" s="26"/>
      <x:c r="G4" s="26"/>
      <x:c r="H4" s="26"/>
      <x:c r="I4" s="26"/>
      <x:c r="J4" s="26"/>
      <x:c r="K4" s="26"/>
      <x:c r="L4" s="26"/>
      <x:c r="M4" s="26"/>
      <x:c r="N4" s="26"/>
    </x:row>
    <x:row r="5">
      <x:c r="A5" s="31" t="str">
        <x:v>Total Risks</x:v>
      </x:c>
      <x:c r="B5" s="32"/>
      <x:c r="C5" s="31" t="str">
        <x:v>High/Critical Residual</x:v>
      </x:c>
      <x:c r="D5" s="32"/>
      <x:c r="E5" s="31" t="str">
        <x:v>CSF Maturity</x:v>
      </x:c>
      <x:c r="F5" s="32"/>
      <x:c r="G5" s="31" t="str">
        <x:v>Vendor Control Score</x:v>
      </x:c>
      <x:c r="H5" s="32"/>
      <x:c r="I5" s="31" t="str">
        <x:v>Open Findings</x:v>
      </x:c>
      <x:c r="J5" s="32"/>
      <x:c r="K5" s="31" t="str">
        <x:v>Access Exceptions</x:v>
      </x:c>
      <x:c r="L5" s="32"/>
      <x:c r="M5" s="31" t="str">
        <x:v>Risk Reduction</x:v>
      </x:c>
      <x:c r="N5" s="32"/>
    </x:row>
    <x:row r="6">
      <x:c r="A6" s="46" t="n">
        <x:f>'Metrics'!B5</x:f>
        <x:v>15</x:v>
      </x:c>
      <x:c r="B6" s="47"/>
      <x:c r="C6" s="76" t="n">
        <x:f>'Metrics'!B6</x:f>
        <x:v>11</x:v>
      </x:c>
      <x:c r="D6" s="77"/>
      <x:c r="E6" s="142" t="n">
        <x:f>'Metrics'!B9</x:f>
        <x:v>0.5</x:v>
      </x:c>
      <x:c r="F6" s="97"/>
      <x:c r="G6" s="142" t="n">
        <x:f>'Metrics'!E5</x:f>
        <x:v>0.6982758620689655</x:v>
      </x:c>
      <x:c r="H6" s="97"/>
      <x:c r="I6" s="116" t="n">
        <x:f>'Metrics'!B10</x:f>
        <x:v>14</x:v>
      </x:c>
      <x:c r="J6" s="117"/>
      <x:c r="K6" s="76" t="n">
        <x:f>'Metrics'!B11</x:f>
        <x:v>11</x:v>
      </x:c>
      <x:c r="L6" s="77"/>
      <x:c r="M6" s="143" t="n">
        <x:f>'Metrics'!B8</x:f>
        <x:v>0.27753303964757714</x:v>
      </x:c>
      <x:c r="N6" s="137"/>
    </x:row>
    <x:row r="7">
      <x:c r="A7" s="48"/>
      <x:c r="B7" s="49"/>
      <x:c r="C7" s="78"/>
      <x:c r="D7" s="79"/>
      <x:c r="E7" s="98"/>
      <x:c r="F7" s="99"/>
      <x:c r="G7" s="98"/>
      <x:c r="H7" s="99"/>
      <x:c r="I7" s="118"/>
      <x:c r="J7" s="119"/>
      <x:c r="K7" s="78"/>
      <x:c r="L7" s="79"/>
      <x:c r="M7" s="138"/>
      <x:c r="N7" s="139"/>
    </x:row>
    <x:row r="8">
      <x:c r="A8" s="50"/>
      <x:c r="B8" s="51"/>
      <x:c r="C8" s="80"/>
      <x:c r="D8" s="81"/>
      <x:c r="E8" s="100"/>
      <x:c r="F8" s="101"/>
      <x:c r="G8" s="100"/>
      <x:c r="H8" s="101"/>
      <x:c r="I8" s="120"/>
      <x:c r="J8" s="121"/>
      <x:c r="K8" s="80"/>
      <x:c r="L8" s="81"/>
      <x:c r="M8" s="140"/>
      <x:c r="N8" s="141"/>
    </x:row>
    <x:row r="9">
      <x:c r="A9" s="60" t="str">
        <x:v>Risk register population</x:v>
      </x:c>
      <x:c r="B9" s="61"/>
      <x:c r="C9" s="60" t="str">
        <x:v>Requires treatment or monitoring</x:v>
      </x:c>
      <x:c r="D9" s="61"/>
      <x:c r="E9" s="60" t="str">
        <x:v>Weighted implementation score</x:v>
      </x:c>
      <x:c r="F9" s="61"/>
      <x:c r="G9" s="60" t="str">
        <x:v>VitaSync conditional approval</x:v>
      </x:c>
      <x:c r="H9" s="61"/>
      <x:c r="I9" s="60" t="str">
        <x:v>Vendor and access findings</x:v>
      </x:c>
      <x:c r="J9" s="61"/>
      <x:c r="K9" s="60" t="str">
        <x:v>Modify, remove, or escalate</x:v>
      </x:c>
      <x:c r="L9" s="61"/>
      <x:c r="M9" s="60" t="str">
        <x:v>Existing-control improvement</x:v>
      </x:c>
      <x:c r="N9" s="61"/>
    </x:row>
    <x:row r="12">
      <x:c r="A12" s="8" t="str">
        <x:v>RISK AND CONTROL ANALYTICS</x:v>
      </x:c>
      <x:c r="B12" s="8"/>
      <x:c r="C12" s="8"/>
      <x:c r="D12" s="8"/>
      <x:c r="E12" s="8"/>
      <x:c r="F12" s="8"/>
      <x:c r="G12" s="8"/>
      <x:c r="H12" s="8"/>
      <x:c r="I12" s="8"/>
      <x:c r="J12" s="8"/>
      <x:c r="K12" s="8"/>
      <x:c r="L12" s="8"/>
      <x:c r="M12" s="8"/>
      <x:c r="N12" s="8"/>
    </x:row>
    <x:row r="45">
      <x:c r="A45" s="8" t="str">
        <x:v>TOP REMEDIATION PRIORITIES</x:v>
      </x:c>
      <x:c r="B45" s="8"/>
      <x:c r="C45" s="8"/>
      <x:c r="D45" s="8"/>
      <x:c r="E45" s="8"/>
      <x:c r="F45" s="8"/>
      <x:c r="G45" s="8"/>
      <x:c r="H45" s="8"/>
      <x:c r="I45" s="8"/>
      <x:c r="J45" s="8"/>
      <x:c r="K45" s="8"/>
      <x:c r="L45" s="8"/>
      <x:c r="M45" s="8"/>
      <x:c r="N45" s="8"/>
    </x:row>
    <x:row r="46" ht="34" customHeight="1">
      <x:c r="A46" s="12" t="str">
        <x:v>Finding ID</x:v>
      </x:c>
      <x:c r="B46" s="12"/>
      <x:c r="C46" s="12" t="str">
        <x:v>Source</x:v>
      </x:c>
      <x:c r="D46" s="12"/>
      <x:c r="E46" s="12" t="str">
        <x:v>Finding</x:v>
      </x:c>
      <x:c r="F46" s="12"/>
      <x:c r="G46" s="12"/>
      <x:c r="H46" s="12"/>
      <x:c r="I46" s="12"/>
      <x:c r="J46" s="12" t="str">
        <x:v>Rating</x:v>
      </x:c>
      <x:c r="K46" s="12"/>
      <x:c r="L46" s="12" t="str">
        <x:v>Owner</x:v>
      </x:c>
      <x:c r="M46" s="12"/>
      <x:c r="N46" s="12" t="str">
        <x:v>Status</x:v>
      </x:c>
    </x:row>
    <x:row r="47" ht="36" customHeight="1">
      <x:c r="A47" s="144" t="str">
        <x:f>'Findings Data'!B11</x:f>
        <x:v>ARF-01</x:v>
      </x:c>
      <x:c r="B47" s="144"/>
      <x:c r="C47" s="144" t="str">
        <x:f>'Findings Data'!A11</x:f>
        <x:v>Access Review</x:v>
      </x:c>
      <x:c r="D47" s="144"/>
      <x:c r="E47" s="144" t="str">
        <x:f>'Findings Data'!D11</x:f>
        <x:v>Terminated contractor retained AWS access after the contract ended.</x:v>
      </x:c>
      <x:c r="F47" s="144"/>
      <x:c r="G47" s="144"/>
      <x:c r="H47" s="144"/>
      <x:c r="I47" s="144"/>
      <x:c r="J47" s="144" t="str">
        <x:f>'Findings Data'!H11</x:f>
        <x:v>Critical</x:v>
      </x:c>
      <x:c r="K47" s="144"/>
      <x:c r="L47" s="144" t="str">
        <x:f>'Findings Data'!I11</x:f>
        <x:v>Cybersecurity / IT</x:v>
      </x:c>
      <x:c r="M47" s="144"/>
      <x:c r="N47" s="144" t="str">
        <x:f>'Findings Data'!K11</x:f>
        <x:v>Open</x:v>
      </x:c>
    </x:row>
    <x:row r="48" ht="36" customHeight="1">
      <x:c r="A48" s="144" t="str">
        <x:f>'Findings Data'!B12</x:f>
        <x:v>ARF-02</x:v>
      </x:c>
      <x:c r="B48" s="144"/>
      <x:c r="C48" s="144" t="str">
        <x:f>'Findings Data'!A12</x:f>
        <x:v>Access Review</x:v>
      </x:c>
      <x:c r="D48" s="144"/>
      <x:c r="E48" s="144" t="str">
        <x:f>'Findings Data'!D12</x:f>
        <x:v>Developer retained broad production administration and direct customer-database access.</x:v>
      </x:c>
      <x:c r="F48" s="144"/>
      <x:c r="G48" s="144"/>
      <x:c r="H48" s="144"/>
      <x:c r="I48" s="144"/>
      <x:c r="J48" s="144" t="str">
        <x:f>'Findings Data'!H12</x:f>
        <x:v>Critical</x:v>
      </x:c>
      <x:c r="K48" s="144"/>
      <x:c r="L48" s="144" t="str">
        <x:f>'Findings Data'!I12</x:f>
        <x:v>Cloud Engineering</x:v>
      </x:c>
      <x:c r="M48" s="144"/>
      <x:c r="N48" s="144" t="str">
        <x:f>'Findings Data'!K12</x:f>
        <x:v>Open</x:v>
      </x:c>
    </x:row>
    <x:row r="49" ht="36" customHeight="1">
      <x:c r="A49" s="144" t="str">
        <x:f>'Findings Data'!B17</x:f>
        <x:v>ARF-07</x:v>
      </x:c>
      <x:c r="B49" s="144"/>
      <x:c r="C49" s="144" t="str">
        <x:f>'Findings Data'!A17</x:f>
        <x:v>Access Review</x:v>
      </x:c>
      <x:c r="D49" s="144"/>
      <x:c r="E49" s="144" t="str">
        <x:f>'Findings Data'!D17</x:f>
        <x:v>Privileged wearable API service account did not have a documented owner.</x:v>
      </x:c>
      <x:c r="F49" s="144"/>
      <x:c r="G49" s="144"/>
      <x:c r="H49" s="144"/>
      <x:c r="I49" s="144"/>
      <x:c r="J49" s="144" t="str">
        <x:f>'Findings Data'!H17</x:f>
        <x:v>Critical</x:v>
      </x:c>
      <x:c r="K49" s="144"/>
      <x:c r="L49" s="144" t="str">
        <x:f>'Findings Data'!I17</x:f>
        <x:v>Software Development</x:v>
      </x:c>
      <x:c r="M49" s="144"/>
      <x:c r="N49" s="144" t="str">
        <x:f>'Findings Data'!K17</x:f>
        <x:v>Open</x:v>
      </x:c>
    </x:row>
    <x:row r="50" ht="36" customHeight="1">
      <x:c r="A50" s="144" t="str">
        <x:f>'Findings Data'!B7</x:f>
        <x:v>VRF-03</x:v>
      </x:c>
      <x:c r="B50" s="144"/>
      <x:c r="C50" s="144" t="str">
        <x:f>'Findings Data'!A7</x:f>
        <x:v>Vendor Risk</x:v>
      </x:c>
      <x:c r="D50" s="144"/>
      <x:c r="E50" s="144" t="str">
        <x:f>'Findings Data'!D7</x:f>
        <x:v>Incident notice is drafted as 72 hours after vendor confirmation.</x:v>
      </x:c>
      <x:c r="F50" s="144"/>
      <x:c r="G50" s="144"/>
      <x:c r="H50" s="144"/>
      <x:c r="I50" s="144"/>
      <x:c r="J50" s="144" t="str">
        <x:f>'Findings Data'!H7</x:f>
        <x:v>Critical</x:v>
      </x:c>
      <x:c r="K50" s="144"/>
      <x:c r="L50" s="144" t="str">
        <x:f>'Findings Data'!I7</x:f>
        <x:v>Privacy / Legal</x:v>
      </x:c>
      <x:c r="M50" s="144"/>
      <x:c r="N50" s="144" t="str">
        <x:f>'Findings Data'!K7</x:f>
        <x:v>Open</x:v>
      </x:c>
    </x:row>
    <x:row r="51" ht="36" customHeight="1">
      <x:c r="A51" s="144" t="str">
        <x:f>'Findings Data'!B8</x:f>
        <x:v>VRF-04</x:v>
      </x:c>
      <x:c r="B51" s="144"/>
      <x:c r="C51" s="144" t="str">
        <x:f>'Findings Data'!A8</x:f>
        <x:v>Vendor Risk</x:v>
      </x:c>
      <x:c r="D51" s="144"/>
      <x:c r="E51" s="144" t="str">
        <x:f>'Findings Data'!D8</x:f>
        <x:v>No current disaster-recovery test evidence was provided.</x:v>
      </x:c>
      <x:c r="F51" s="144"/>
      <x:c r="G51" s="144"/>
      <x:c r="H51" s="144"/>
      <x:c r="I51" s="144"/>
      <x:c r="J51" s="144" t="str">
        <x:f>'Findings Data'!H8</x:f>
        <x:v>Critical</x:v>
      </x:c>
      <x:c r="K51" s="144"/>
      <x:c r="L51" s="144" t="str">
        <x:f>'Findings Data'!I8</x:f>
        <x:v>Vendor Management</x:v>
      </x:c>
      <x:c r="M51" s="144"/>
      <x:c r="N51" s="144" t="str">
        <x:f>'Findings Data'!K8</x:f>
        <x:v>Open</x:v>
      </x:c>
    </x:row>
    <x:row r="52" ht="36" customHeight="1">
      <x:c r="A52" s="144" t="str">
        <x:f>'Findings Data'!B9</x:f>
        <x:v>VRF-05</x:v>
      </x:c>
      <x:c r="B52" s="144"/>
      <x:c r="C52" s="144" t="str">
        <x:f>'Findings Data'!A9</x:f>
        <x:v>Vendor Risk</x:v>
      </x:c>
      <x:c r="D52" s="144"/>
      <x:c r="E52" s="144" t="str">
        <x:f>'Findings Data'!D9</x:f>
        <x:v>Retention, backup deletion, and deletion confirmation are not defined.</x:v>
      </x:c>
      <x:c r="F52" s="144"/>
      <x:c r="G52" s="144"/>
      <x:c r="H52" s="144"/>
      <x:c r="I52" s="144"/>
      <x:c r="J52" s="144" t="str">
        <x:f>'Findings Data'!H9</x:f>
        <x:v>Critical</x:v>
      </x:c>
      <x:c r="K52" s="144"/>
      <x:c r="L52" s="144" t="str">
        <x:f>'Findings Data'!I9</x:f>
        <x:v>Privacy / Legal</x:v>
      </x:c>
      <x:c r="M52" s="144"/>
      <x:c r="N52" s="144" t="str">
        <x:f>'Findings Data'!K9</x:f>
        <x:v>In Progress</x:v>
      </x:c>
    </x:row>
    <x:row r="55">
      <x:c r="A55" s="158" t="str">
        <x:v>Leadership takeaway: risk remains concentrated in identity and access, cloud/application security, resilience, and privacy. The immediate priorities are to remove inappropriate access, validate recovery capability, strengthen vendor contract and deletion terms, and close high-impact findings with retained evidence.</x:v>
      </x:c>
      <x:c r="B55" s="159"/>
      <x:c r="C55" s="159"/>
      <x:c r="D55" s="159"/>
      <x:c r="E55" s="159"/>
      <x:c r="F55" s="159"/>
      <x:c r="G55" s="159"/>
      <x:c r="H55" s="159"/>
      <x:c r="I55" s="159"/>
      <x:c r="J55" s="159"/>
      <x:c r="K55" s="159"/>
      <x:c r="L55" s="159"/>
      <x:c r="M55" s="159"/>
      <x:c r="N55" s="160"/>
    </x:row>
    <x:row r="56">
      <x:c r="A56" s="161"/>
      <x:c r="B56" s="162"/>
      <x:c r="C56" s="162"/>
      <x:c r="D56" s="162"/>
      <x:c r="E56" s="162"/>
      <x:c r="F56" s="162"/>
      <x:c r="G56" s="162"/>
      <x:c r="H56" s="162"/>
      <x:c r="I56" s="162"/>
      <x:c r="J56" s="162"/>
      <x:c r="K56" s="162"/>
      <x:c r="L56" s="162"/>
      <x:c r="M56" s="162"/>
      <x:c r="N56" s="163"/>
    </x:row>
    <x:row r="58">
      <x:c r="A58" s="166" t="str">
        <x:v>Portfolio disclaimer: Trainory, VitaSync, all records, metrics, findings, and decisions are fictional educational examples. Dashboard calculations update when the supporting data tabs are edited.</x:v>
      </x:c>
      <x:c r="B58" s="166"/>
      <x:c r="C58" s="166"/>
      <x:c r="D58" s="166"/>
      <x:c r="E58" s="166"/>
      <x:c r="F58" s="166"/>
      <x:c r="G58" s="166"/>
      <x:c r="H58" s="166"/>
      <x:c r="I58" s="166"/>
      <x:c r="J58" s="166"/>
      <x:c r="K58" s="166"/>
      <x:c r="L58" s="166"/>
      <x:c r="M58" s="166"/>
      <x:c r="N58" s="166"/>
    </x:row>
  </x:sheetData>
  <x:mergeCells>
    <x:mergeCell ref="A1:N1"/>
    <x:mergeCell ref="A2:N2"/>
    <x:mergeCell ref="A4:N4"/>
    <x:mergeCell ref="A5:B5"/>
    <x:mergeCell ref="A6:B8"/>
    <x:mergeCell ref="A9:B9"/>
    <x:mergeCell ref="C5:D5"/>
    <x:mergeCell ref="C6:D8"/>
    <x:mergeCell ref="C9:D9"/>
    <x:mergeCell ref="E5:F5"/>
    <x:mergeCell ref="E6:F8"/>
    <x:mergeCell ref="E9:F9"/>
    <x:mergeCell ref="G5:H5"/>
    <x:mergeCell ref="G6:H8"/>
    <x:mergeCell ref="G9:H9"/>
    <x:mergeCell ref="I5:J5"/>
    <x:mergeCell ref="I6:J8"/>
    <x:mergeCell ref="I9:J9"/>
    <x:mergeCell ref="K5:L5"/>
    <x:mergeCell ref="K6:L8"/>
    <x:mergeCell ref="K9:L9"/>
    <x:mergeCell ref="M5:N5"/>
    <x:mergeCell ref="M6:N8"/>
    <x:mergeCell ref="M9:N9"/>
    <x:mergeCell ref="A12:N12"/>
    <x:mergeCell ref="A45:N45"/>
    <x:mergeCell ref="A46:B46"/>
    <x:mergeCell ref="C46:D46"/>
    <x:mergeCell ref="E46:I46"/>
    <x:mergeCell ref="J46:K46"/>
    <x:mergeCell ref="L46:M46"/>
    <x:mergeCell ref="A47:B47"/>
    <x:mergeCell ref="C47:D47"/>
    <x:mergeCell ref="E47:I47"/>
    <x:mergeCell ref="J47:K47"/>
    <x:mergeCell ref="L47:M47"/>
    <x:mergeCell ref="A48:B48"/>
    <x:mergeCell ref="C48:D48"/>
    <x:mergeCell ref="E48:I48"/>
    <x:mergeCell ref="J48:K48"/>
    <x:mergeCell ref="L48:M48"/>
    <x:mergeCell ref="A49:B49"/>
    <x:mergeCell ref="C49:D49"/>
    <x:mergeCell ref="E49:I49"/>
    <x:mergeCell ref="J49:K49"/>
    <x:mergeCell ref="L49:M49"/>
    <x:mergeCell ref="A50:B50"/>
    <x:mergeCell ref="C50:D50"/>
    <x:mergeCell ref="E50:I50"/>
    <x:mergeCell ref="J50:K50"/>
    <x:mergeCell ref="L50:M50"/>
    <x:mergeCell ref="A51:B51"/>
    <x:mergeCell ref="C51:D51"/>
    <x:mergeCell ref="E51:I51"/>
    <x:mergeCell ref="J51:K51"/>
    <x:mergeCell ref="L51:M51"/>
    <x:mergeCell ref="A52:B52"/>
    <x:mergeCell ref="C52:D52"/>
    <x:mergeCell ref="E52:I52"/>
    <x:mergeCell ref="J52:K52"/>
    <x:mergeCell ref="L52:M52"/>
    <x:mergeCell ref="A55:N56"/>
    <x:mergeCell ref="A58:N58"/>
  </x:mergeCells>
  <x:conditionalFormatting sqref="J47:K52">
    <x:cfRule type="containsText" dxfId="72" priority="1" operator="containsText" text="Critical"/>
    <x:cfRule type="containsText" dxfId="73" priority="2" operator="containsText" text="High"/>
  </x:conditionalFormatting>
  <x:pageMargins left="0.7" right="0.7" top="0.75" bottom="0.75" header="0.3" footer="0.3"/>
  <x:drawing xmlns:r="http://schemas.openxmlformats.org/officeDocument/2006/relationships" r:id="R8651b89870f24959"/>
</x:worksheet>
</file>

<file path=xl/worksheets/sheet2.xml><?xml version="1.0" encoding="utf-8"?>
<x:worksheet xmlns:x="http://schemas.openxmlformats.org/spreadsheetml/2006/main">
  <x:sheetViews>
    <x:sheetView showGridLines="0" workbookViewId="0"/>
  </x:sheetViews>
  <x:sheetFormatPr defaultRowHeight="15"/>
  <x:cols>
    <x:col min="1" max="1" width="29" hidden="0" customWidth="1"/>
    <x:col min="2" max="2" width="18" hidden="0" customWidth="1"/>
    <x:col min="3" max="3" width="4" hidden="0" customWidth="1"/>
    <x:col min="4" max="4" width="25" hidden="0" customWidth="1"/>
    <x:col min="5" max="5" width="18" hidden="0" customWidth="1"/>
    <x:col min="6" max="6" width="4" hidden="0" customWidth="1"/>
    <x:col min="7" max="7" width="20" hidden="0" customWidth="1"/>
    <x:col min="8" max="8" width="14" hidden="0" customWidth="1"/>
    <x:col min="9" max="9" width="4" hidden="0" customWidth="1"/>
    <x:col min="10" max="10" width="20" hidden="0" customWidth="1"/>
    <x:col min="11" max="11" width="14" hidden="0" customWidth="1"/>
    <x:col min="12" max="12" width="14" hidden="0" customWidth="1"/>
  </x:cols>
  <x:sheetData>
    <x:row r="1" ht="32" customHeight="1">
      <x:c r="A1" s="3" t="str">
        <x:v>Trainory | Dashboard Metrics</x:v>
      </x:c>
      <x:c r="B1" s="3" t="str">
        <x:v>Trainory | Dashboard Metrics</x:v>
      </x:c>
      <x:c r="C1" s="3" t="str">
        <x:v>Trainory | Dashboard Metrics</x:v>
      </x:c>
      <x:c r="D1" s="3" t="str">
        <x:v>Trainory | Dashboard Metrics</x:v>
      </x:c>
      <x:c r="E1" s="3" t="str">
        <x:v>Trainory | Dashboard Metrics</x:v>
      </x:c>
      <x:c r="F1" s="3" t="str">
        <x:v>Trainory | Dashboard Metrics</x:v>
      </x:c>
      <x:c r="G1" s="3" t="str">
        <x:v>Trainory | Dashboard Metrics</x:v>
      </x:c>
      <x:c r="H1" s="3" t="str">
        <x:v>Trainory | Dashboard Metrics</x:v>
      </x:c>
      <x:c r="I1" s="3" t="str">
        <x:v>Trainory | Dashboard Metrics</x:v>
      </x:c>
      <x:c r="J1" s="3" t="str">
        <x:v>Trainory | Dashboard Metrics</x:v>
      </x:c>
      <x:c r="K1" s="3" t="str">
        <x:v>Trainory | Dashboard Metrics</x:v>
      </x:c>
      <x:c r="L1" s="3" t="str">
        <x:v>Trainory | Dashboard Metrics</x:v>
      </x:c>
    </x:row>
    <x:row r="2" ht="24" customHeight="1">
      <x:c r="A2" s="6" t="str">
        <x:v>Visible calculation layer supporting the executive dashboard</x:v>
      </x:c>
      <x:c r="B2" s="6" t="str">
        <x:v>Visible calculation layer supporting the executive dashboard</x:v>
      </x:c>
      <x:c r="C2" s="6" t="str">
        <x:v>Visible calculation layer supporting the executive dashboard</x:v>
      </x:c>
      <x:c r="D2" s="6" t="str">
        <x:v>Visible calculation layer supporting the executive dashboard</x:v>
      </x:c>
      <x:c r="E2" s="6" t="str">
        <x:v>Visible calculation layer supporting the executive dashboard</x:v>
      </x:c>
      <x:c r="F2" s="6" t="str">
        <x:v>Visible calculation layer supporting the executive dashboard</x:v>
      </x:c>
      <x:c r="G2" s="6" t="str">
        <x:v>Visible calculation layer supporting the executive dashboard</x:v>
      </x:c>
      <x:c r="H2" s="6" t="str">
        <x:v>Visible calculation layer supporting the executive dashboard</x:v>
      </x:c>
      <x:c r="I2" s="6" t="str">
        <x:v>Visible calculation layer supporting the executive dashboard</x:v>
      </x:c>
      <x:c r="J2" s="6" t="str">
        <x:v>Visible calculation layer supporting the executive dashboard</x:v>
      </x:c>
      <x:c r="K2" s="6" t="str">
        <x:v>Visible calculation layer supporting the executive dashboard</x:v>
      </x:c>
      <x:c r="L2" s="6" t="str">
        <x:v>Visible calculation layer supporting the executive dashboard</x:v>
      </x:c>
    </x:row>
    <x:row r="4" ht="34" customHeight="1">
      <x:c r="A4" s="12" t="str">
        <x:v>KPI</x:v>
      </x:c>
      <x:c r="B4" s="12" t="str">
        <x:v>Calculated Value</x:v>
      </x:c>
      <x:c r="D4" s="12" t="str">
        <x:v>Vendor KPI</x:v>
      </x:c>
      <x:c r="E4" s="12" t="str">
        <x:v>Calculated Value</x:v>
      </x:c>
    </x:row>
    <x:row r="5">
      <x:c r="A5" s="17" t="str">
        <x:v>Total risks</x:v>
      </x:c>
      <x:c r="B5" s="17" t="n">
        <x:f>COUNTA('Risk Data'!$A$5:$A$19)</x:f>
        <x:v>15</x:v>
      </x:c>
      <x:c r="D5" s="17" t="str">
        <x:v>VitaSync overall control score</x:v>
      </x:c>
      <x:c r="E5" s="23" t="n">
        <x:f>SUM('Vendor Data'!$H$5:$H$29)/SUM('Vendor Data'!$I$5:$I$29)</x:f>
        <x:v>0.6982758620689655</x:v>
      </x:c>
    </x:row>
    <x:row r="6">
      <x:c r="A6" s="17" t="str">
        <x:v>High / Critical residual risks</x:v>
      </x:c>
      <x:c r="B6" s="17" t="n">
        <x:f>COUNTIF('Risk Data'!$K$5:$K$19,"High")+COUNTIF('Risk Data'!$K$5:$K$19,"Critical")</x:f>
        <x:v>11</x:v>
      </x:c>
      <x:c r="D6" s="17" t="str">
        <x:v>High-risk control gaps</x:v>
      </x:c>
      <x:c r="E6" s="17" t="n">
        <x:f>COUNTIF('Vendor Data'!$K$5:$K$29,"High")</x:f>
        <x:v>9</x:v>
      </x:c>
    </x:row>
    <x:row r="7">
      <x:c r="A7" s="17" t="str">
        <x:v>Average residual risk score</x:v>
      </x:c>
      <x:c r="B7" s="25" t="n">
        <x:f>AVERAGE('Risk Data'!$J$5:$J$19)</x:f>
        <x:v>10.933333333333334</x:v>
      </x:c>
      <x:c r="D7" s="18" t="str">
        <x:v>Evidence gaps</x:v>
      </x:c>
      <x:c r="E7" s="18" t="n">
        <x:f>COUNTIF('Vendor Data'!$F$5:$F$29,"Weak")+COUNTIF('Vendor Data'!$F$5:$F$29,"None")</x:f>
        <x:v>5</x:v>
      </x:c>
    </x:row>
    <x:row r="8">
      <x:c r="A8" s="17" t="str">
        <x:v>Portfolio risk reduction</x:v>
      </x:c>
      <x:c r="B8" s="23" t="n">
        <x:f>1-(SUM('Risk Data'!$J$5:$J$19)/SUM('Risk Data'!$F$5:$F$19))</x:f>
        <x:v>0.27753303964757714</x:v>
      </x:c>
    </x:row>
    <x:row r="9">
      <x:c r="A9" s="17" t="str">
        <x:v>NIST CSF maturity score</x:v>
      </x:c>
      <x:c r="B9" s="23" t="n">
        <x:f>(COUNTIF('Control Data'!$E$5:$E$26,"Implemented")+0.5*COUNTIF('Control Data'!$E$5:$E$26,"Partial"))/COUNTA('Control Data'!$A$5:$A$26)</x:f>
        <x:v>0.5</x:v>
      </x:c>
    </x:row>
    <x:row r="10">
      <x:c r="A10" s="17" t="str">
        <x:v>Open / In Progress findings</x:v>
      </x:c>
      <x:c r="B10" s="17" t="n">
        <x:f>COUNTIF('Findings Data'!$K$5:$K$18,"Open")+COUNTIF('Findings Data'!$K$5:$K$18,"In Progress")</x:f>
        <x:v>14</x:v>
      </x:c>
    </x:row>
    <x:row r="11">
      <x:c r="A11" s="18" t="str">
        <x:v>Access exceptions</x:v>
      </x:c>
      <x:c r="B11" s="18" t="n">
        <x:f>COUNTIF('Access Data'!$L$5:$L$32,"Yes")</x:f>
        <x:v>11</x:v>
      </x:c>
    </x:row>
    <x:row r="14" ht="34" customHeight="1">
      <x:c r="A14" s="12" t="str">
        <x:v>Residual Rating</x:v>
      </x:c>
      <x:c r="B14" s="12" t="str">
        <x:v>Risks</x:v>
      </x:c>
      <x:c r="D14" s="12" t="str">
        <x:v>CSF Function</x:v>
      </x:c>
      <x:c r="E14" s="12" t="str">
        <x:v>Maturity</x:v>
      </x:c>
      <x:c r="G14" s="12" t="str">
        <x:v>Access Decision</x:v>
      </x:c>
      <x:c r="H14" s="12" t="str">
        <x:v>Records</x:v>
      </x:c>
      <x:c r="J14" s="12" t="str">
        <x:v>Finding Source</x:v>
      </x:c>
      <x:c r="K14" s="12" t="str">
        <x:v>Critical</x:v>
      </x:c>
      <x:c r="L14" s="12" t="str">
        <x:v>High</x:v>
      </x:c>
    </x:row>
    <x:row r="15">
      <x:c r="A15" s="17" t="str">
        <x:v>Critical</x:v>
      </x:c>
      <x:c r="B15" s="17" t="n">
        <x:f>COUNTIF('Risk Data'!$K$5:$K$19,A15)</x:f>
        <x:v>0</x:v>
      </x:c>
      <x:c r="D15" s="17" t="str">
        <x:v>Govern</x:v>
      </x:c>
      <x:c r="E15" s="23" t="n">
        <x:f>(COUNTIFS('Control Data'!$B$5:$B$26,D15,'Control Data'!$E$5:$E$26,"Implemented")+0.5*COUNTIFS('Control Data'!$B$5:$B$26,D15,'Control Data'!$E$5:$E$26,"Partial"))/COUNTIF('Control Data'!$B$5:$B$26,D15)</x:f>
        <x:v>0.4</x:v>
      </x:c>
      <x:c r="G15" s="17" t="str">
        <x:v>Retain</x:v>
      </x:c>
      <x:c r="H15" s="17" t="n">
        <x:f>COUNTIF('Access Data'!$K$5:$K$32,G15)</x:f>
        <x:v>17</x:v>
      </x:c>
      <x:c r="J15" s="17" t="str">
        <x:v>Access Review</x:v>
      </x:c>
      <x:c r="K15" s="17" t="n">
        <x:f>COUNTIFS('Findings Data'!$A$5:$A$18,J15,'Findings Data'!$H$5:$H$18,K$14)</x:f>
        <x:v>4</x:v>
      </x:c>
      <x:c r="L15" s="17" t="n">
        <x:f>COUNTIFS('Findings Data'!$A$5:$A$18,J15,'Findings Data'!$H$5:$H$18,L$14)</x:f>
        <x:v>4</x:v>
      </x:c>
    </x:row>
    <x:row r="16">
      <x:c r="A16" s="17" t="str">
        <x:v>High</x:v>
      </x:c>
      <x:c r="B16" s="17" t="n">
        <x:f>COUNTIF('Risk Data'!$K$5:$K$19,A16)</x:f>
        <x:v>11</x:v>
      </x:c>
      <x:c r="D16" s="17" t="str">
        <x:v>Identify</x:v>
      </x:c>
      <x:c r="E16" s="23" t="n">
        <x:f>(COUNTIFS('Control Data'!$B$5:$B$26,D16,'Control Data'!$E$5:$E$26,"Implemented")+0.5*COUNTIFS('Control Data'!$B$5:$B$26,D16,'Control Data'!$E$5:$E$26,"Partial"))/COUNTIF('Control Data'!$B$5:$B$26,D16)</x:f>
        <x:v>0.7142857142857143</x:v>
      </x:c>
      <x:c r="G16" s="17" t="str">
        <x:v>Modify</x:v>
      </x:c>
      <x:c r="H16" s="17" t="n">
        <x:f>COUNTIF('Access Data'!$K$5:$K$32,G16)</x:f>
        <x:v>3</x:v>
      </x:c>
      <x:c r="J16" s="18" t="str">
        <x:v>Vendor Risk</x:v>
      </x:c>
      <x:c r="K16" s="18" t="n">
        <x:f>COUNTIFS('Findings Data'!$A$5:$A$18,J16,'Findings Data'!$H$5:$H$18,K$14)</x:f>
        <x:v>3</x:v>
      </x:c>
      <x:c r="L16" s="18" t="n">
        <x:f>COUNTIFS('Findings Data'!$A$5:$A$18,J16,'Findings Data'!$H$5:$H$18,L$14)</x:f>
        <x:v>3</x:v>
      </x:c>
    </x:row>
    <x:row r="17">
      <x:c r="A17" s="17" t="str">
        <x:v>Moderate</x:v>
      </x:c>
      <x:c r="B17" s="17" t="n">
        <x:f>COUNTIF('Risk Data'!$K$5:$K$19,A17)</x:f>
        <x:v>4</x:v>
      </x:c>
      <x:c r="D17" s="17" t="str">
        <x:v>Protect</x:v>
      </x:c>
      <x:c r="E17" s="23" t="n">
        <x:f>(COUNTIFS('Control Data'!$B$5:$B$26,D17,'Control Data'!$E$5:$E$26,"Implemented")+0.5*COUNTIFS('Control Data'!$B$5:$B$26,D17,'Control Data'!$E$5:$E$26,"Partial"))/COUNTIF('Control Data'!$B$5:$B$26,D17)</x:f>
        <x:v>0.42857142857142855</x:v>
      </x:c>
      <x:c r="G17" s="17" t="str">
        <x:v>Remove</x:v>
      </x:c>
      <x:c r="H17" s="17" t="n">
        <x:f>COUNTIF('Access Data'!$K$5:$K$32,G17)</x:f>
        <x:v>5</x:v>
      </x:c>
    </x:row>
    <x:row r="18">
      <x:c r="A18" s="18" t="str">
        <x:v>Low</x:v>
      </x:c>
      <x:c r="B18" s="18" t="n">
        <x:f>COUNTIF('Risk Data'!$K$5:$K$19,A18)</x:f>
        <x:v>0</x:v>
      </x:c>
      <x:c r="D18" s="17" t="str">
        <x:v>Detect</x:v>
      </x:c>
      <x:c r="E18" s="23" t="n">
        <x:f>(COUNTIFS('Control Data'!$B$5:$B$26,D18,'Control Data'!$E$5:$E$26,"Implemented")+0.5*COUNTIFS('Control Data'!$B$5:$B$26,D18,'Control Data'!$E$5:$E$26,"Partial"))/COUNTIF('Control Data'!$B$5:$B$26,D18)</x:f>
        <x:v>0.5</x:v>
      </x:c>
      <x:c r="G18" s="18" t="str">
        <x:v>Escalate</x:v>
      </x:c>
      <x:c r="H18" s="18" t="n">
        <x:f>COUNTIF('Access Data'!$K$5:$K$32,G18)</x:f>
        <x:v>3</x:v>
      </x:c>
    </x:row>
    <x:row r="19">
      <x:c r="D19" s="17" t="str">
        <x:v>Respond</x:v>
      </x:c>
      <x:c r="E19" s="23" t="n">
        <x:f>(COUNTIFS('Control Data'!$B$5:$B$26,D19,'Control Data'!$E$5:$E$26,"Implemented")+0.5*COUNTIFS('Control Data'!$B$5:$B$26,D19,'Control Data'!$E$5:$E$26,"Partial"))/COUNTIF('Control Data'!$B$5:$B$26,D19)</x:f>
        <x:v>0</x:v>
      </x:c>
    </x:row>
    <x:row r="20">
      <x:c r="D20" s="18" t="str">
        <x:v>Recover</x:v>
      </x:c>
      <x:c r="E20" s="24" t="n">
        <x:f>(COUNTIFS('Control Data'!$B$5:$B$26,D20,'Control Data'!$E$5:$E$26,"Implemented")+0.5*COUNTIFS('Control Data'!$B$5:$B$26,D20,'Control Data'!$E$5:$E$26,"Partial"))/COUNTIF('Control Data'!$B$5:$B$26,D20)</x:f>
        <x:v>0.5</x:v>
      </x:c>
    </x:row>
    <x:row r="23" ht="34" customHeight="1">
      <x:c r="A23" s="12" t="str">
        <x:v>Vendor Domain</x:v>
      </x:c>
      <x:c r="B23" s="12" t="str">
        <x:v>Control Score</x:v>
      </x:c>
    </x:row>
    <x:row r="24">
      <x:c r="A24" s="17" t="str">
        <x:v>Governance</x:v>
      </x:c>
      <x:c r="B24" s="23" t="n">
        <x:f>SUMIF('Vendor Data'!$B$5:$B$29,A24,'Vendor Data'!$H$5:$H$29)/SUMIF('Vendor Data'!$B$5:$B$29,A24,'Vendor Data'!$I$5:$I$29)</x:f>
        <x:v>0.6923076923076923</x:v>
      </x:c>
    </x:row>
    <x:row r="25">
      <x:c r="A25" s="17" t="str">
        <x:v>Identity &amp; Access</x:v>
      </x:c>
      <x:c r="B25" s="23" t="n">
        <x:f>SUMIF('Vendor Data'!$B$5:$B$29,A25,'Vendor Data'!$H$5:$H$29)/SUMIF('Vendor Data'!$B$5:$B$29,A25,'Vendor Data'!$I$5:$I$29)</x:f>
        <x:v>0.8214285714285714</x:v>
      </x:c>
    </x:row>
    <x:row r="26">
      <x:c r="A26" s="17" t="str">
        <x:v>Data Protection</x:v>
      </x:c>
      <x:c r="B26" s="23" t="n">
        <x:f>SUMIF('Vendor Data'!$B$5:$B$29,A26,'Vendor Data'!$H$5:$H$29)/SUMIF('Vendor Data'!$B$5:$B$29,A26,'Vendor Data'!$I$5:$I$29)</x:f>
        <x:v>0.875</x:v>
      </x:c>
    </x:row>
    <x:row r="27">
      <x:c r="A27" s="17" t="str">
        <x:v>Application Security</x:v>
      </x:c>
      <x:c r="B27" s="23" t="n">
        <x:f>SUMIF('Vendor Data'!$B$5:$B$29,A27,'Vendor Data'!$H$5:$H$29)/SUMIF('Vendor Data'!$B$5:$B$29,A27,'Vendor Data'!$I$5:$I$29)</x:f>
        <x:v>0.8076923076923077</x:v>
      </x:c>
    </x:row>
    <x:row r="28">
      <x:c r="A28" s="17" t="str">
        <x:v>Monitoring &amp; Response</x:v>
      </x:c>
      <x:c r="B28" s="23" t="n">
        <x:f>SUMIF('Vendor Data'!$B$5:$B$29,A28,'Vendor Data'!$H$5:$H$29)/SUMIF('Vendor Data'!$B$5:$B$29,A28,'Vendor Data'!$I$5:$I$29)</x:f>
        <x:v>0.6666666666666666</x:v>
      </x:c>
    </x:row>
    <x:row r="29">
      <x:c r="A29" s="17" t="str">
        <x:v>Resilience</x:v>
      </x:c>
      <x:c r="B29" s="23" t="n">
        <x:f>SUMIF('Vendor Data'!$B$5:$B$29,A29,'Vendor Data'!$H$5:$H$29)/SUMIF('Vendor Data'!$B$5:$B$29,A29,'Vendor Data'!$I$5:$I$29)</x:f>
        <x:v>0.5</x:v>
      </x:c>
    </x:row>
    <x:row r="30">
      <x:c r="A30" s="17" t="str">
        <x:v>Privacy</x:v>
      </x:c>
      <x:c r="B30" s="23" t="n">
        <x:f>SUMIF('Vendor Data'!$B$5:$B$29,A30,'Vendor Data'!$H$5:$H$29)/SUMIF('Vendor Data'!$B$5:$B$29,A30,'Vendor Data'!$I$5:$I$29)</x:f>
        <x:v>0.5</x:v>
      </x:c>
    </x:row>
    <x:row r="31">
      <x:c r="A31" s="18" t="str">
        <x:v>Third Parties</x:v>
      </x:c>
      <x:c r="B31" s="24" t="n">
        <x:f>SUMIF('Vendor Data'!$B$5:$B$29,A31,'Vendor Data'!$H$5:$H$29)/SUMIF('Vendor Data'!$B$5:$B$29,A31,'Vendor Data'!$I$5:$I$29)</x:f>
        <x:v>0.6538461538461539</x:v>
      </x:c>
    </x:row>
  </x:sheetData>
  <x:mergeCells>
    <x:mergeCell ref="A1:L1"/>
    <x:mergeCell ref="A2:L2"/>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3" hidden="0" customWidth="1"/>
    <x:col min="2" max="2" width="23" hidden="0" customWidth="1"/>
    <x:col min="3" max="3" width="48" hidden="0" customWidth="1"/>
    <x:col min="4" max="4"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20" hidden="0" customWidth="1"/>
    <x:col min="13" max="13" width="20" hidden="0" customWidth="1"/>
    <x:col min="14" max="14" width="14" hidden="0" customWidth="1"/>
    <x:col min="15" max="15" width="14" hidden="0" customWidth="1"/>
    <x:col min="16" max="16" width="48" hidden="0" customWidth="1"/>
    <x:col min="17" max="17" width="14" hidden="0" customWidth="1"/>
  </x:cols>
  <x:sheetData>
    <x:row r="1" ht="32" customHeight="1">
      <x:c r="A1" s="3" t="str">
        <x:v>Trainory | Risk Data</x:v>
      </x:c>
      <x:c r="B1" s="3" t="str">
        <x:v>Trainory | Risk Data</x:v>
      </x:c>
      <x:c r="C1" s="3" t="str">
        <x:v>Trainory | Risk Data</x:v>
      </x:c>
      <x:c r="D1" s="3" t="str">
        <x:v>Trainory | Risk Data</x:v>
      </x:c>
      <x:c r="E1" s="3" t="str">
        <x:v>Trainory | Risk Data</x:v>
      </x:c>
      <x:c r="F1" s="3" t="str">
        <x:v>Trainory | Risk Data</x:v>
      </x:c>
      <x:c r="G1" s="3" t="str">
        <x:v>Trainory | Risk Data</x:v>
      </x:c>
      <x:c r="H1" s="3" t="str">
        <x:v>Trainory | Risk Data</x:v>
      </x:c>
      <x:c r="I1" s="3" t="str">
        <x:v>Trainory | Risk Data</x:v>
      </x:c>
      <x:c r="J1" s="3" t="str">
        <x:v>Trainory | Risk Data</x:v>
      </x:c>
      <x:c r="K1" s="3" t="str">
        <x:v>Trainory | Risk Data</x:v>
      </x:c>
      <x:c r="L1" s="3" t="str">
        <x:v>Trainory | Risk Data</x:v>
      </x:c>
      <x:c r="M1" s="3" t="str">
        <x:v>Trainory | Risk Data</x:v>
      </x:c>
      <x:c r="N1" s="3" t="str">
        <x:v>Trainory | Risk Data</x:v>
      </x:c>
      <x:c r="O1" s="3" t="str">
        <x:v>Trainory | Risk Data</x:v>
      </x:c>
      <x:c r="P1" s="3" t="str">
        <x:v>Trainory | Risk Data</x:v>
      </x:c>
      <x:c r="Q1" s="3" t="str">
        <x:v>Trainory | Risk Data</x:v>
      </x:c>
    </x:row>
    <x:row r="2" ht="24" customHeight="1">
      <x:c r="A2" s="6" t="str">
        <x:v>Consolidated from the approved Step 3 risk register</x:v>
      </x:c>
      <x:c r="B2" s="6" t="str">
        <x:v>Consolidated from the approved Step 3 risk register</x:v>
      </x:c>
      <x:c r="C2" s="6" t="str">
        <x:v>Consolidated from the approved Step 3 risk register</x:v>
      </x:c>
      <x:c r="D2" s="6" t="str">
        <x:v>Consolidated from the approved Step 3 risk register</x:v>
      </x:c>
      <x:c r="E2" s="6" t="str">
        <x:v>Consolidated from the approved Step 3 risk register</x:v>
      </x:c>
      <x:c r="F2" s="6" t="str">
        <x:v>Consolidated from the approved Step 3 risk register</x:v>
      </x:c>
      <x:c r="G2" s="6" t="str">
        <x:v>Consolidated from the approved Step 3 risk register</x:v>
      </x:c>
      <x:c r="H2" s="6" t="str">
        <x:v>Consolidated from the approved Step 3 risk register</x:v>
      </x:c>
      <x:c r="I2" s="6" t="str">
        <x:v>Consolidated from the approved Step 3 risk register</x:v>
      </x:c>
      <x:c r="J2" s="6" t="str">
        <x:v>Consolidated from the approved Step 3 risk register</x:v>
      </x:c>
      <x:c r="K2" s="6" t="str">
        <x:v>Consolidated from the approved Step 3 risk register</x:v>
      </x:c>
      <x:c r="L2" s="6" t="str">
        <x:v>Consolidated from the approved Step 3 risk register</x:v>
      </x:c>
      <x:c r="M2" s="6" t="str">
        <x:v>Consolidated from the approved Step 3 risk register</x:v>
      </x:c>
      <x:c r="N2" s="6" t="str">
        <x:v>Consolidated from the approved Step 3 risk register</x:v>
      </x:c>
      <x:c r="O2" s="6" t="str">
        <x:v>Consolidated from the approved Step 3 risk register</x:v>
      </x:c>
      <x:c r="P2" s="6" t="str">
        <x:v>Consolidated from the approved Step 3 risk register</x:v>
      </x:c>
      <x:c r="Q2" s="6" t="str">
        <x:v>Consolidated from the approved Step 3 risk register</x:v>
      </x:c>
    </x:row>
    <x:row r="4" ht="34" customHeight="1">
      <x:c r="A4" s="12" t="str">
        <x:v>Risk ID</x:v>
      </x:c>
      <x:c r="B4" s="12" t="str">
        <x:v>Category</x:v>
      </x:c>
      <x:c r="C4" s="12" t="str">
        <x:v>Risk Statement</x:v>
      </x:c>
      <x:c r="D4" s="12" t="str">
        <x:v>Inherent Likelihood</x:v>
      </x:c>
      <x:c r="E4" s="12" t="str">
        <x:v>Inherent Impact</x:v>
      </x:c>
      <x:c r="F4" s="12" t="str">
        <x:v>Inherent Score</x:v>
      </x:c>
      <x:c r="G4" s="12" t="str">
        <x:v>Inherent Rating</x:v>
      </x:c>
      <x:c r="H4" s="12" t="str">
        <x:v>Residual Likelihood</x:v>
      </x:c>
      <x:c r="I4" s="12" t="str">
        <x:v>Residual Impact</x:v>
      </x:c>
      <x:c r="J4" s="12" t="str">
        <x:v>Residual Score</x:v>
      </x:c>
      <x:c r="K4" s="12" t="str">
        <x:v>Residual Rating</x:v>
      </x:c>
      <x:c r="L4" s="12" t="str">
        <x:v>Owner</x:v>
      </x:c>
      <x:c r="M4" s="12" t="str">
        <x:v>Status</x:v>
      </x:c>
      <x:c r="N4" s="12" t="str">
        <x:v>Target Date</x:v>
      </x:c>
      <x:c r="O4" s="12" t="str">
        <x:v>Treatment</x:v>
      </x:c>
      <x:c r="P4" s="12" t="str">
        <x:v>Recommended Actions</x:v>
      </x:c>
      <x:c r="Q4" s="12" t="str">
        <x:v>Risk Reduction</x:v>
      </x:c>
    </x:row>
    <x:row r="5">
      <x:c r="A5" s="17" t="str">
        <x:v>TRN-R001</x:v>
      </x:c>
      <x:c r="B5" s="17" t="str">
        <x:v>Account compromise</x:v>
      </x:c>
      <x:c r="C5" s="17" t="str">
        <x:v>Stolen or reused customer credentials could allow unauthorized access to customer fitness and personal data.</x:v>
      </x:c>
      <x:c r="D5" s="19" t="n">
        <x:v>4</x:v>
      </x:c>
      <x:c r="E5" s="19" t="n">
        <x:v>5</x:v>
      </x:c>
      <x:c r="F5" s="19" t="n">
        <x:v>20</x:v>
      </x:c>
      <x:c r="G5" s="17" t="str">
        <x:v>Critical</x:v>
      </x:c>
      <x:c r="H5" s="19" t="n">
        <x:v>3</x:v>
      </x:c>
      <x:c r="I5" s="19" t="n">
        <x:v>5</x:v>
      </x:c>
      <x:c r="J5" s="19" t="n">
        <x:v>15</x:v>
      </x:c>
      <x:c r="K5" s="19" t="str">
        <x:v>High</x:v>
      </x:c>
      <x:c r="L5" s="17" t="str">
        <x:v>Cybersecurity / IT</x:v>
      </x:c>
      <x:c r="M5" s="17" t="str">
        <x:v>In Progress</x:v>
      </x:c>
      <x:c r="N5" s="21" t="n">
        <x:v>46326</x:v>
      </x:c>
      <x:c r="O5" s="17" t="str">
        <x:v>Mitigate</x:v>
      </x:c>
      <x:c r="P5" s="17" t="str">
        <x:v>Add customer MFA options, breached-password screening, rate limiting, and stronger alerting.</x:v>
      </x:c>
      <x:c r="Q5" s="17" t="n">
        <x:f>F5-J5</x:f>
        <x:v>5</x:v>
      </x:c>
    </x:row>
    <x:row r="6">
      <x:c r="A6" s="17" t="str">
        <x:v>TRN-R002</x:v>
      </x:c>
      <x:c r="B6" s="17" t="str">
        <x:v>Cloud misconfiguration</x:v>
      </x:c>
      <x:c r="C6" s="17" t="str">
        <x:v>An incorrectly configured cloud database or storage resource could expose sensitive customer information to the internet.</x:v>
      </x:c>
      <x:c r="D6" s="19" t="n">
        <x:v>3</x:v>
      </x:c>
      <x:c r="E6" s="19" t="n">
        <x:v>5</x:v>
      </x:c>
      <x:c r="F6" s="19" t="n">
        <x:v>15</x:v>
      </x:c>
      <x:c r="G6" s="17" t="str">
        <x:v>High</x:v>
      </x:c>
      <x:c r="H6" s="19" t="n">
        <x:v>2</x:v>
      </x:c>
      <x:c r="I6" s="19" t="n">
        <x:v>5</x:v>
      </x:c>
      <x:c r="J6" s="19" t="n">
        <x:v>10</x:v>
      </x:c>
      <x:c r="K6" s="19" t="str">
        <x:v>High</x:v>
      </x:c>
      <x:c r="L6" s="17" t="str">
        <x:v>IT / Cloud Engineering</x:v>
      </x:c>
      <x:c r="M6" s="17" t="str">
        <x:v>Open</x:v>
      </x:c>
      <x:c r="N6" s="21" t="n">
        <x:v>46310</x:v>
      </x:c>
      <x:c r="O6" s="17" t="str">
        <x:v>Mitigate</x:v>
      </x:c>
      <x:c r="P6" s="17" t="str">
        <x:v>Implement configuration scanning, approved baselines, encryption checks, and recurring cloud reviews.</x:v>
      </x:c>
      <x:c r="Q6" s="17" t="n">
        <x:f>F6-J6</x:f>
        <x:v>5</x:v>
      </x:c>
    </x:row>
    <x:row r="7">
      <x:c r="A7" s="17" t="str">
        <x:v>TRN-R003</x:v>
      </x:c>
      <x:c r="B7" s="17" t="str">
        <x:v>Excessive privileged access</x:v>
      </x:c>
      <x:c r="C7" s="17" t="str">
        <x:v>Too many employees or administrators could retain powerful access beyond what their jobs require.</x:v>
      </x:c>
      <x:c r="D7" s="19" t="n">
        <x:v>4</x:v>
      </x:c>
      <x:c r="E7" s="19" t="n">
        <x:v>4</x:v>
      </x:c>
      <x:c r="F7" s="19" t="n">
        <x:v>16</x:v>
      </x:c>
      <x:c r="G7" s="17" t="str">
        <x:v>High</x:v>
      </x:c>
      <x:c r="H7" s="19" t="n">
        <x:v>3</x:v>
      </x:c>
      <x:c r="I7" s="19" t="n">
        <x:v>4</x:v>
      </x:c>
      <x:c r="J7" s="19" t="n">
        <x:v>12</x:v>
      </x:c>
      <x:c r="K7" s="19" t="str">
        <x:v>High</x:v>
      </x:c>
      <x:c r="L7" s="17" t="str">
        <x:v>Cybersecurity / IT</x:v>
      </x:c>
      <x:c r="M7" s="17" t="str">
        <x:v>Open</x:v>
      </x:c>
      <x:c r="N7" s="21" t="n">
        <x:v>46341</x:v>
      </x:c>
      <x:c r="O7" s="17" t="str">
        <x:v>Mitigate</x:v>
      </x:c>
      <x:c r="P7" s="17" t="str">
        <x:v>Create least-privilege roles, quarterly access reviews, privileged-access logs, and approval requirements.</x:v>
      </x:c>
      <x:c r="Q7" s="17" t="n">
        <x:f>F7-J7</x:f>
        <x:v>4</x:v>
      </x:c>
    </x:row>
    <x:row r="8">
      <x:c r="A8" s="17" t="str">
        <x:v>TRN-R004</x:v>
      </x:c>
      <x:c r="B8" s="17" t="str">
        <x:v>Insecure wearable integration</x:v>
      </x:c>
      <x:c r="C8" s="17" t="str">
        <x:v>Weak API authentication or excessive permissions could expose or alter imported wearable and activity data.</x:v>
      </x:c>
      <x:c r="D8" s="19" t="n">
        <x:v>3</x:v>
      </x:c>
      <x:c r="E8" s="19" t="n">
        <x:v>4</x:v>
      </x:c>
      <x:c r="F8" s="19" t="n">
        <x:v>12</x:v>
      </x:c>
      <x:c r="G8" s="17" t="str">
        <x:v>High</x:v>
      </x:c>
      <x:c r="H8" s="19" t="n">
        <x:v>2</x:v>
      </x:c>
      <x:c r="I8" s="19" t="n">
        <x:v>4</x:v>
      </x:c>
      <x:c r="J8" s="19" t="n">
        <x:v>8</x:v>
      </x:c>
      <x:c r="K8" s="19" t="str">
        <x:v>Moderate</x:v>
      </x:c>
      <x:c r="L8" s="17" t="str">
        <x:v>Software Development</x:v>
      </x:c>
      <x:c r="M8" s="17" t="str">
        <x:v>Open</x:v>
      </x:c>
      <x:c r="N8" s="21" t="n">
        <x:v>46356</x:v>
      </x:c>
      <x:c r="O8" s="17" t="str">
        <x:v>Mitigate</x:v>
      </x:c>
      <x:c r="P8" s="17" t="str">
        <x:v>Limit API scopes, protect tokens, validate inputs, monitor failures, and review provider security.</x:v>
      </x:c>
      <x:c r="Q8" s="17" t="n">
        <x:f>F8-J8</x:f>
        <x:v>4</x:v>
      </x:c>
    </x:row>
    <x:row r="9">
      <x:c r="A9" s="17" t="str">
        <x:v>TRN-R005</x:v>
      </x:c>
      <x:c r="B9" s="17" t="str">
        <x:v>Remote endpoint compromise</x:v>
      </x:c>
      <x:c r="C9" s="17" t="str">
        <x:v>Malware or ransomware on an employee laptop could steal credentials, disrupt work, or provide access to company systems.</x:v>
      </x:c>
      <x:c r="D9" s="19" t="n">
        <x:v>4</x:v>
      </x:c>
      <x:c r="E9" s="19" t="n">
        <x:v>4</x:v>
      </x:c>
      <x:c r="F9" s="19" t="n">
        <x:v>16</x:v>
      </x:c>
      <x:c r="G9" s="17" t="str">
        <x:v>High</x:v>
      </x:c>
      <x:c r="H9" s="19" t="n">
        <x:v>3</x:v>
      </x:c>
      <x:c r="I9" s="19" t="n">
        <x:v>4</x:v>
      </x:c>
      <x:c r="J9" s="19" t="n">
        <x:v>12</x:v>
      </x:c>
      <x:c r="K9" s="19" t="str">
        <x:v>High</x:v>
      </x:c>
      <x:c r="L9" s="17" t="str">
        <x:v>IT Support</x:v>
      </x:c>
      <x:c r="M9" s="17" t="str">
        <x:v>In Progress</x:v>
      </x:c>
      <x:c r="N9" s="21" t="n">
        <x:v>46326</x:v>
      </x:c>
      <x:c r="O9" s="17" t="str">
        <x:v>Mitigate</x:v>
      </x:c>
      <x:c r="P9" s="17" t="str">
        <x:v>Deploy managed endpoint detection, encryption, patch enforcement, phishing training, and remote wipe.</x:v>
      </x:c>
      <x:c r="Q9" s="17" t="n">
        <x:f>F9-J9</x:f>
        <x:v>4</x:v>
      </x:c>
    </x:row>
    <x:row r="10">
      <x:c r="A10" s="17" t="str">
        <x:v>TRN-R006</x:v>
      </x:c>
      <x:c r="B10" s="17" t="str">
        <x:v>Unpatched application vulnerability</x:v>
      </x:c>
      <x:c r="C10" s="17" t="str">
        <x:v>Known or newly introduced software vulnerabilities could be exploited before Trainory identifies and corrects them.</x:v>
      </x:c>
      <x:c r="D10" s="19" t="n">
        <x:v>4</x:v>
      </x:c>
      <x:c r="E10" s="19" t="n">
        <x:v>5</x:v>
      </x:c>
      <x:c r="F10" s="19" t="n">
        <x:v>20</x:v>
      </x:c>
      <x:c r="G10" s="17" t="str">
        <x:v>Critical</x:v>
      </x:c>
      <x:c r="H10" s="19" t="n">
        <x:v>3</x:v>
      </x:c>
      <x:c r="I10" s="19" t="n">
        <x:v>5</x:v>
      </x:c>
      <x:c r="J10" s="19" t="n">
        <x:v>15</x:v>
      </x:c>
      <x:c r="K10" s="19" t="str">
        <x:v>High</x:v>
      </x:c>
      <x:c r="L10" s="17" t="str">
        <x:v>Software Development</x:v>
      </x:c>
      <x:c r="M10" s="17" t="str">
        <x:v>Open</x:v>
      </x:c>
      <x:c r="N10" s="21" t="n">
        <x:v>46310</x:v>
      </x:c>
      <x:c r="O10" s="17" t="str">
        <x:v>Mitigate</x:v>
      </x:c>
      <x:c r="P10" s="17" t="str">
        <x:v>Add automated dependency, code, and application scanning with severity-based remediation deadlines.</x:v>
      </x:c>
      <x:c r="Q10" s="17" t="n">
        <x:f>F10-J10</x:f>
        <x:v>5</x:v>
      </x:c>
    </x:row>
    <x:row r="11">
      <x:c r="A11" s="17" t="str">
        <x:v>TRN-R007</x:v>
      </x:c>
      <x:c r="B11" s="17" t="str">
        <x:v>Source-code or secret exposure</x:v>
      </x:c>
      <x:c r="C11" s="17" t="str">
        <x:v>Credentials, API keys, or sensitive code could be committed to GitHub or accessed through a compromised developer account.</x:v>
      </x:c>
      <x:c r="D11" s="19" t="n">
        <x:v>3</x:v>
      </x:c>
      <x:c r="E11" s="19" t="n">
        <x:v>5</x:v>
      </x:c>
      <x:c r="F11" s="19" t="n">
        <x:v>15</x:v>
      </x:c>
      <x:c r="G11" s="17" t="str">
        <x:v>High</x:v>
      </x:c>
      <x:c r="H11" s="19" t="n">
        <x:v>2</x:v>
      </x:c>
      <x:c r="I11" s="19" t="n">
        <x:v>5</x:v>
      </x:c>
      <x:c r="J11" s="19" t="n">
        <x:v>10</x:v>
      </x:c>
      <x:c r="K11" s="19" t="str">
        <x:v>High</x:v>
      </x:c>
      <x:c r="L11" s="17" t="str">
        <x:v>Software Development</x:v>
      </x:c>
      <x:c r="M11" s="17" t="str">
        <x:v>Open</x:v>
      </x:c>
      <x:c r="N11" s="21" t="n">
        <x:v>46326</x:v>
      </x:c>
      <x:c r="O11" s="17" t="str">
        <x:v>Mitigate</x:v>
      </x:c>
      <x:c r="P11" s="17" t="str">
        <x:v>Enable secret scanning, protected branches, least privilege, code-owner approvals, and key rotation procedures.</x:v>
      </x:c>
      <x:c r="Q11" s="17" t="n">
        <x:f>F11-J11</x:f>
        <x:v>5</x:v>
      </x:c>
    </x:row>
    <x:row r="12">
      <x:c r="A12" s="17" t="str">
        <x:v>TRN-R008</x:v>
      </x:c>
      <x:c r="B12" s="17" t="str">
        <x:v>Unauthorized production change</x:v>
      </x:c>
      <x:c r="C12" s="17" t="str">
        <x:v>An unapproved or malicious pipeline change could deploy insecure code or disrupt the production application.</x:v>
      </x:c>
      <x:c r="D12" s="19" t="n">
        <x:v>3</x:v>
      </x:c>
      <x:c r="E12" s="19" t="n">
        <x:v>5</x:v>
      </x:c>
      <x:c r="F12" s="19" t="n">
        <x:v>15</x:v>
      </x:c>
      <x:c r="G12" s="17" t="str">
        <x:v>High</x:v>
      </x:c>
      <x:c r="H12" s="19" t="n">
        <x:v>2</x:v>
      </x:c>
      <x:c r="I12" s="19" t="n">
        <x:v>5</x:v>
      </x:c>
      <x:c r="J12" s="19" t="n">
        <x:v>10</x:v>
      </x:c>
      <x:c r="K12" s="19" t="str">
        <x:v>High</x:v>
      </x:c>
      <x:c r="L12" s="17" t="str">
        <x:v>DevOps</x:v>
      </x:c>
      <x:c r="M12" s="17" t="str">
        <x:v>Open</x:v>
      </x:c>
      <x:c r="N12" s="21" t="n">
        <x:v>46341</x:v>
      </x:c>
      <x:c r="O12" s="17" t="str">
        <x:v>Mitigate</x:v>
      </x:c>
      <x:c r="P12" s="17" t="str">
        <x:v>Require protected approvals, signed artifacts, separated duties, deployment logs, and rollback testing.</x:v>
      </x:c>
      <x:c r="Q12" s="17" t="n">
        <x:f>F12-J12</x:f>
        <x:v>5</x:v>
      </x:c>
    </x:row>
    <x:row r="13">
      <x:c r="A13" s="17" t="str">
        <x:v>TRN-R009</x:v>
      </x:c>
      <x:c r="B13" s="17" t="str">
        <x:v>Payment provider disruption</x:v>
      </x:c>
      <x:c r="C13" s="17" t="str">
        <x:v>A security incident or outage at the payment provider could interrupt subscriptions or expose limited customer billing information.</x:v>
      </x:c>
      <x:c r="D13" s="19" t="n">
        <x:v>3</x:v>
      </x:c>
      <x:c r="E13" s="19" t="n">
        <x:v>4</x:v>
      </x:c>
      <x:c r="F13" s="19" t="n">
        <x:v>12</x:v>
      </x:c>
      <x:c r="G13" s="17" t="str">
        <x:v>High</x:v>
      </x:c>
      <x:c r="H13" s="19" t="n">
        <x:v>2</x:v>
      </x:c>
      <x:c r="I13" s="19" t="n">
        <x:v>4</x:v>
      </x:c>
      <x:c r="J13" s="19" t="n">
        <x:v>8</x:v>
      </x:c>
      <x:c r="K13" s="19" t="str">
        <x:v>Moderate</x:v>
      </x:c>
      <x:c r="L13" s="17" t="str">
        <x:v>Finance</x:v>
      </x:c>
      <x:c r="M13" s="17" t="str">
        <x:v>Monitoring</x:v>
      </x:c>
      <x:c r="N13" s="21" t="n">
        <x:v>46371</x:v>
      </x:c>
      <x:c r="O13" s="17" t="str">
        <x:v>Transfer</x:v>
      </x:c>
      <x:c r="P13" s="17" t="str">
        <x:v>Review assurance reports, breach terms, availability commitments, and contingency procedures annually.</x:v>
      </x:c>
      <x:c r="Q13" s="17" t="n">
        <x:f>F13-J13</x:f>
        <x:v>4</x:v>
      </x:c>
    </x:row>
    <x:row r="14">
      <x:c r="A14" s="17" t="str">
        <x:v>TRN-R010</x:v>
      </x:c>
      <x:c r="B14" s="17" t="str">
        <x:v>Email phishing and takeover</x:v>
      </x:c>
      <x:c r="C14" s="17" t="str">
        <x:v>A successful phishing attack could compromise an employee mailbox and enable fraud, data theft, or additional account compromise.</x:v>
      </x:c>
      <x:c r="D14" s="19" t="n">
        <x:v>4</x:v>
      </x:c>
      <x:c r="E14" s="19" t="n">
        <x:v>4</x:v>
      </x:c>
      <x:c r="F14" s="19" t="n">
        <x:v>16</x:v>
      </x:c>
      <x:c r="G14" s="17" t="str">
        <x:v>High</x:v>
      </x:c>
      <x:c r="H14" s="19" t="n">
        <x:v>3</x:v>
      </x:c>
      <x:c r="I14" s="19" t="n">
        <x:v>4</x:v>
      </x:c>
      <x:c r="J14" s="19" t="n">
        <x:v>12</x:v>
      </x:c>
      <x:c r="K14" s="19" t="str">
        <x:v>High</x:v>
      </x:c>
      <x:c r="L14" s="17" t="str">
        <x:v>Cybersecurity / IT</x:v>
      </x:c>
      <x:c r="M14" s="17" t="str">
        <x:v>In Progress</x:v>
      </x:c>
      <x:c r="N14" s="21" t="n">
        <x:v>46310</x:v>
      </x:c>
      <x:c r="O14" s="17" t="str">
        <x:v>Mitigate</x:v>
      </x:c>
      <x:c r="P14" s="17" t="str">
        <x:v>Provide recurring phishing training, restrict legacy authentication, add conditional access, and monitor risky sign-ins.</x:v>
      </x:c>
      <x:c r="Q14" s="17" t="n">
        <x:f>F14-J14</x:f>
        <x:v>4</x:v>
      </x:c>
    </x:row>
    <x:row r="15">
      <x:c r="A15" s="17" t="str">
        <x:v>TRN-R011</x:v>
      </x:c>
      <x:c r="B15" s="17" t="str">
        <x:v>Backup restoration failure</x:v>
      </x:c>
      <x:c r="C15" s="17" t="str">
        <x:v>Backups may be incomplete, unavailable, or unusable during a ransomware event or major service failure.</x:v>
      </x:c>
      <x:c r="D15" s="19" t="n">
        <x:v>3</x:v>
      </x:c>
      <x:c r="E15" s="19" t="n">
        <x:v>5</x:v>
      </x:c>
      <x:c r="F15" s="19" t="n">
        <x:v>15</x:v>
      </x:c>
      <x:c r="G15" s="17" t="str">
        <x:v>High</x:v>
      </x:c>
      <x:c r="H15" s="19" t="n">
        <x:v>3</x:v>
      </x:c>
      <x:c r="I15" s="19" t="n">
        <x:v>4</x:v>
      </x:c>
      <x:c r="J15" s="19" t="n">
        <x:v>12</x:v>
      </x:c>
      <x:c r="K15" s="19" t="str">
        <x:v>High</x:v>
      </x:c>
      <x:c r="L15" s="17" t="str">
        <x:v>IT / Cloud Engineering</x:v>
      </x:c>
      <x:c r="M15" s="17" t="str">
        <x:v>Open</x:v>
      </x:c>
      <x:c r="N15" s="21" t="n">
        <x:v>46356</x:v>
      </x:c>
      <x:c r="O15" s="17" t="str">
        <x:v>Mitigate</x:v>
      </x:c>
      <x:c r="P15" s="17" t="str">
        <x:v>Define recovery objectives, protect backup access, retain isolated copies, and test restoration quarterly.</x:v>
      </x:c>
      <x:c r="Q15" s="17" t="n">
        <x:f>F15-J15</x:f>
        <x:v>3</x:v>
      </x:c>
    </x:row>
    <x:row r="16">
      <x:c r="A16" s="17" t="str">
        <x:v>TRN-R012</x:v>
      </x:c>
      <x:c r="B16" s="17" t="str">
        <x:v>Insufficient security monitoring</x:v>
      </x:c>
      <x:c r="C16" s="17" t="str">
        <x:v>Missing or unreviewed logs could prevent Trainory from quickly detecting and investigating suspicious activity.</x:v>
      </x:c>
      <x:c r="D16" s="19" t="n">
        <x:v>4</x:v>
      </x:c>
      <x:c r="E16" s="19" t="n">
        <x:v>4</x:v>
      </x:c>
      <x:c r="F16" s="19" t="n">
        <x:v>16</x:v>
      </x:c>
      <x:c r="G16" s="17" t="str">
        <x:v>High</x:v>
      </x:c>
      <x:c r="H16" s="19" t="n">
        <x:v>3</x:v>
      </x:c>
      <x:c r="I16" s="19" t="n">
        <x:v>4</x:v>
      </x:c>
      <x:c r="J16" s="19" t="n">
        <x:v>12</x:v>
      </x:c>
      <x:c r="K16" s="19" t="str">
        <x:v>High</x:v>
      </x:c>
      <x:c r="L16" s="17" t="str">
        <x:v>Cybersecurity / IT</x:v>
      </x:c>
      <x:c r="M16" s="17" t="str">
        <x:v>Open</x:v>
      </x:c>
      <x:c r="N16" s="21" t="n">
        <x:v>46341</x:v>
      </x:c>
      <x:c r="O16" s="17" t="str">
        <x:v>Mitigate</x:v>
      </x:c>
      <x:c r="P16" s="17" t="str">
        <x:v>Centralize critical logs, define alerts, document review responsibilities, and test incident escalation.</x:v>
      </x:c>
      <x:c r="Q16" s="17" t="n">
        <x:f>F16-J16</x:f>
        <x:v>4</x:v>
      </x:c>
    </x:row>
    <x:row r="17">
      <x:c r="A17" s="17" t="str">
        <x:v>TRN-R013</x:v>
      </x:c>
      <x:c r="B17" s="17" t="str">
        <x:v>Inadequate privacy and consent</x:v>
      </x:c>
      <x:c r="C17" s="17" t="str">
        <x:v>Trainory could collect or share wellness data without clear notice, appropriate consent, or reliable deletion processes.</x:v>
      </x:c>
      <x:c r="D17" s="19" t="n">
        <x:v>3</x:v>
      </x:c>
      <x:c r="E17" s="19" t="n">
        <x:v>5</x:v>
      </x:c>
      <x:c r="F17" s="19" t="n">
        <x:v>15</x:v>
      </x:c>
      <x:c r="G17" s="17" t="str">
        <x:v>High</x:v>
      </x:c>
      <x:c r="H17" s="19" t="n">
        <x:v>3</x:v>
      </x:c>
      <x:c r="I17" s="19" t="n">
        <x:v>4</x:v>
      </x:c>
      <x:c r="J17" s="19" t="n">
        <x:v>12</x:v>
      </x:c>
      <x:c r="K17" s="19" t="str">
        <x:v>High</x:v>
      </x:c>
      <x:c r="L17" s="17" t="str">
        <x:v>Legal / Compliance</x:v>
      </x:c>
      <x:c r="M17" s="17" t="str">
        <x:v>Open</x:v>
      </x:c>
      <x:c r="N17" s="21" t="n">
        <x:v>46371</x:v>
      </x:c>
      <x:c r="O17" s="17" t="str">
        <x:v>Mitigate</x:v>
      </x:c>
      <x:c r="P17" s="17" t="str">
        <x:v>Create a data inventory, consent records, retention rules, deletion workflow, and privacy review process.</x:v>
      </x:c>
      <x:c r="Q17" s="17" t="n">
        <x:f>F17-J17</x:f>
        <x:v>3</x:v>
      </x:c>
    </x:row>
    <x:row r="18">
      <x:c r="A18" s="17" t="str">
        <x:v>TRN-R014</x:v>
      </x:c>
      <x:c r="B18" s="17" t="str">
        <x:v>Delayed access removal</x:v>
      </x:c>
      <x:c r="C18" s="17" t="str">
        <x:v>A departing employee could retain access to company systems because offboarding is late or incomplete.</x:v>
      </x:c>
      <x:c r="D18" s="19" t="n">
        <x:v>3</x:v>
      </x:c>
      <x:c r="E18" s="19" t="n">
        <x:v>4</x:v>
      </x:c>
      <x:c r="F18" s="19" t="n">
        <x:v>12</x:v>
      </x:c>
      <x:c r="G18" s="17" t="str">
        <x:v>High</x:v>
      </x:c>
      <x:c r="H18" s="19" t="n">
        <x:v>2</x:v>
      </x:c>
      <x:c r="I18" s="19" t="n">
        <x:v>4</x:v>
      </x:c>
      <x:c r="J18" s="19" t="n">
        <x:v>8</x:v>
      </x:c>
      <x:c r="K18" s="19" t="str">
        <x:v>Moderate</x:v>
      </x:c>
      <x:c r="L18" s="17" t="str">
        <x:v>Human Resources / IT</x:v>
      </x:c>
      <x:c r="M18" s="17" t="str">
        <x:v>Open</x:v>
      </x:c>
      <x:c r="N18" s="21" t="n">
        <x:v>46326</x:v>
      </x:c>
      <x:c r="O18" s="17" t="str">
        <x:v>Mitigate</x:v>
      </x:c>
      <x:c r="P18" s="17" t="str">
        <x:v>Use an offboarding checklist, centralized account inventory, immediate disablement, and completion evidence.</x:v>
      </x:c>
      <x:c r="Q18" s="17" t="n">
        <x:f>F18-J18</x:f>
        <x:v>4</x:v>
      </x:c>
    </x:row>
    <x:row r="19">
      <x:c r="A19" s="18" t="str">
        <x:v>TRN-R015</x:v>
      </x:c>
      <x:c r="B19" s="18" t="str">
        <x:v>Application outage or denial of service</x:v>
      </x:c>
      <x:c r="C19" s="18" t="str">
        <x:v>Heavy traffic, malicious activity, or cloud failure could make the Trainory platform unavailable to customers.</x:v>
      </x:c>
      <x:c r="D19" s="20" t="n">
        <x:v>3</x:v>
      </x:c>
      <x:c r="E19" s="20" t="n">
        <x:v>4</x:v>
      </x:c>
      <x:c r="F19" s="20" t="n">
        <x:v>12</x:v>
      </x:c>
      <x:c r="G19" s="18" t="str">
        <x:v>High</x:v>
      </x:c>
      <x:c r="H19" s="20" t="n">
        <x:v>2</x:v>
      </x:c>
      <x:c r="I19" s="20" t="n">
        <x:v>4</x:v>
      </x:c>
      <x:c r="J19" s="20" t="n">
        <x:v>8</x:v>
      </x:c>
      <x:c r="K19" s="20" t="str">
        <x:v>Moderate</x:v>
      </x:c>
      <x:c r="L19" s="18" t="str">
        <x:v>IT / Cloud Engineering</x:v>
      </x:c>
      <x:c r="M19" s="18" t="str">
        <x:v>Monitoring</x:v>
      </x:c>
      <x:c r="N19" s="22" t="n">
        <x:v>46402</x:v>
      </x:c>
      <x:c r="O19" s="18" t="str">
        <x:v>Mitigate</x:v>
      </x:c>
      <x:c r="P19" s="18" t="str">
        <x:v>Define uptime targets, add rate limiting and scaling alerts, test failover, and document customer communications.</x:v>
      </x:c>
      <x:c r="Q19" s="18" t="n">
        <x:f>F19-J19</x:f>
        <x:v>4</x:v>
      </x:c>
    </x:row>
  </x:sheetData>
  <x:mergeCells>
    <x:mergeCell ref="A1:Q1"/>
    <x:mergeCell ref="A2:Q2"/>
  </x:mergeCells>
  <x:conditionalFormatting sqref="G5:G19">
    <x:cfRule type="containsText" dxfId="0" priority="1" operator="containsText" text="Critical"/>
    <x:cfRule type="containsText" dxfId="1" priority="2" operator="containsText" text="High"/>
    <x:cfRule type="containsText" dxfId="2" priority="3" operator="containsText" text="Moderate"/>
    <x:cfRule type="containsText" dxfId="3" priority="4" operator="containsText" text="Implemented"/>
    <x:cfRule type="containsText" dxfId="4" priority="5" operator="containsText" text="Retain"/>
    <x:cfRule type="containsText" dxfId="5" priority="6" operator="containsText" text="Yes"/>
  </x:conditionalFormatting>
  <x:conditionalFormatting sqref="K5:K19">
    <x:cfRule type="containsText" dxfId="6" priority="7" operator="containsText" text="Critical"/>
    <x:cfRule type="containsText" dxfId="7" priority="8" operator="containsText" text="High"/>
    <x:cfRule type="containsText" dxfId="8" priority="9" operator="containsText" text="Moderate"/>
    <x:cfRule type="containsText" dxfId="9" priority="10" operator="containsText" text="Implemented"/>
    <x:cfRule type="containsText" dxfId="10" priority="11" operator="containsText" text="Retain"/>
    <x:cfRule type="containsText" dxfId="11" priority="12" operator="containsText" text="Yes"/>
  </x:conditionalFormatting>
  <x:pageMargins left="0.7" right="0.7" top="0.75" bottom="0.75" header="0.3" footer="0.3"/>
  <x:tableParts count="1">
    <x:tablePart xmlns:r="http://schemas.openxmlformats.org/officeDocument/2006/relationships" r:id="Rc772f82c47434ca2"/>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3" hidden="0" customWidth="1"/>
    <x:col min="2" max="2" width="14" hidden="0" customWidth="1"/>
    <x:col min="3" max="3" width="25" hidden="0" customWidth="1"/>
    <x:col min="4" max="4" width="45" hidden="0" customWidth="1"/>
    <x:col min="5" max="5" width="18" hidden="0" customWidth="1"/>
    <x:col min="6" max="6" width="45" hidden="0" customWidth="1"/>
    <x:col min="7" max="7" width="45" hidden="0" customWidth="1"/>
    <x:col min="8" max="8" width="23" hidden="0" customWidth="1"/>
    <x:col min="9" max="9" width="13" hidden="0" customWidth="1"/>
    <x:col min="10" max="10" width="25" hidden="0" customWidth="1"/>
  </x:cols>
  <x:sheetData>
    <x:row r="1" ht="32" customHeight="1">
      <x:c r="A1" s="3" t="str">
        <x:v>Trainory | Control Data</x:v>
      </x:c>
      <x:c r="B1" s="3" t="str">
        <x:v>Trainory | Control Data</x:v>
      </x:c>
      <x:c r="C1" s="3" t="str">
        <x:v>Trainory | Control Data</x:v>
      </x:c>
      <x:c r="D1" s="3" t="str">
        <x:v>Trainory | Control Data</x:v>
      </x:c>
      <x:c r="E1" s="3" t="str">
        <x:v>Trainory | Control Data</x:v>
      </x:c>
      <x:c r="F1" s="3" t="str">
        <x:v>Trainory | Control Data</x:v>
      </x:c>
      <x:c r="G1" s="3" t="str">
        <x:v>Trainory | Control Data</x:v>
      </x:c>
      <x:c r="H1" s="3" t="str">
        <x:v>Trainory | Control Data</x:v>
      </x:c>
      <x:c r="I1" s="3" t="str">
        <x:v>Trainory | Control Data</x:v>
      </x:c>
      <x:c r="J1" s="3" t="str">
        <x:v>Trainory | Control Data</x:v>
      </x:c>
    </x:row>
    <x:row r="2" ht="24" customHeight="1">
      <x:c r="A2" s="6" t="str">
        <x:v>Consolidated from the approved Step 4 NIST CSF 2.0 assessment</x:v>
      </x:c>
      <x:c r="B2" s="6" t="str">
        <x:v>Consolidated from the approved Step 4 NIST CSF 2.0 assessment</x:v>
      </x:c>
      <x:c r="C2" s="6" t="str">
        <x:v>Consolidated from the approved Step 4 NIST CSF 2.0 assessment</x:v>
      </x:c>
      <x:c r="D2" s="6" t="str">
        <x:v>Consolidated from the approved Step 4 NIST CSF 2.0 assessment</x:v>
      </x:c>
      <x:c r="E2" s="6" t="str">
        <x:v>Consolidated from the approved Step 4 NIST CSF 2.0 assessment</x:v>
      </x:c>
      <x:c r="F2" s="6" t="str">
        <x:v>Consolidated from the approved Step 4 NIST CSF 2.0 assessment</x:v>
      </x:c>
      <x:c r="G2" s="6" t="str">
        <x:v>Consolidated from the approved Step 4 NIST CSF 2.0 assessment</x:v>
      </x:c>
      <x:c r="H2" s="6" t="str">
        <x:v>Consolidated from the approved Step 4 NIST CSF 2.0 assessment</x:v>
      </x:c>
      <x:c r="I2" s="6" t="str">
        <x:v>Consolidated from the approved Step 4 NIST CSF 2.0 assessment</x:v>
      </x:c>
      <x:c r="J2" s="6" t="str">
        <x:v>Consolidated from the approved Step 4 NIST CSF 2.0 assessment</x:v>
      </x:c>
    </x:row>
    <x:row r="4" ht="34" customHeight="1">
      <x:c r="A4" s="12" t="str">
        <x:v>CSF ID</x:v>
      </x:c>
      <x:c r="B4" s="12" t="str">
        <x:v>Function</x:v>
      </x:c>
      <x:c r="C4" s="12" t="str">
        <x:v>Category</x:v>
      </x:c>
      <x:c r="D4" s="12" t="str">
        <x:v>Expected Outcome</x:v>
      </x:c>
      <x:c r="E4" s="12" t="str">
        <x:v>Current Status</x:v>
      </x:c>
      <x:c r="F4" s="12" t="str">
        <x:v>Gap Identified</x:v>
      </x:c>
      <x:c r="G4" s="12" t="str">
        <x:v>Recommended Action</x:v>
      </x:c>
      <x:c r="H4" s="12" t="str">
        <x:v>Control Owner</x:v>
      </x:c>
      <x:c r="I4" s="12" t="str">
        <x:v>Priority</x:v>
      </x:c>
      <x:c r="J4" s="12" t="str">
        <x:v>Related Risks</x:v>
      </x:c>
    </x:row>
    <x:row r="5">
      <x:c r="A5" s="17" t="str">
        <x:v>GV.OC-03</x:v>
      </x:c>
      <x:c r="B5" s="17" t="str">
        <x:v>Govern</x:v>
      </x:c>
      <x:c r="C5" s="17" t="str">
        <x:v>Organizational Context</x:v>
      </x:c>
      <x:c r="D5" s="17" t="str">
        <x:v>Identify and manage applicable cybersecurity, privacy, legal, and customer-contract requirements.</x:v>
      </x:c>
      <x:c r="E5" s="17" t="str">
        <x:v>Partial</x:v>
      </x:c>
      <x:c r="F5" s="17" t="str">
        <x:v>No maintained requirements register or assigned review schedule.</x:v>
      </x:c>
      <x:c r="G5" s="17" t="str">
        <x:v>Create a requirements register and review it at least annually.</x:v>
      </x:c>
      <x:c r="H5" s="17" t="str">
        <x:v>Legal / Compliance</x:v>
      </x:c>
      <x:c r="I5" s="17" t="str">
        <x:v>High</x:v>
      </x:c>
      <x:c r="J5" s="17" t="str">
        <x:v>TRN-R009; TRN-R013</x:v>
      </x:c>
    </x:row>
    <x:row r="6">
      <x:c r="A6" s="17" t="str">
        <x:v>GV.RM-01</x:v>
      </x:c>
      <x:c r="B6" s="17" t="str">
        <x:v>Govern</x:v>
      </x:c>
      <x:c r="C6" s="17" t="str">
        <x:v>Risk Management Strategy</x:v>
      </x:c>
      <x:c r="D6" s="17" t="str">
        <x:v>Define cybersecurity risk objectives that support Trainory's business mission.</x:v>
      </x:c>
      <x:c r="E6" s="17" t="str">
        <x:v>Partial</x:v>
      </x:c>
      <x:c r="F6" s="17" t="str">
        <x:v>Risk appetite and measurable objectives are not formally approved.</x:v>
      </x:c>
      <x:c r="G6" s="17" t="str">
        <x:v>Document risk appetite, risk tolerances, and GRC objectives.</x:v>
      </x:c>
      <x:c r="H6" s="17" t="str">
        <x:v>Executive Leadership</x:v>
      </x:c>
      <x:c r="I6" s="17" t="str">
        <x:v>High</x:v>
      </x:c>
      <x:c r="J6" s="17" t="str">
        <x:v>All risks</x:v>
      </x:c>
    </x:row>
    <x:row r="7">
      <x:c r="A7" s="17" t="str">
        <x:v>GV.RR-02</x:v>
      </x:c>
      <x:c r="B7" s="17" t="str">
        <x:v>Govern</x:v>
      </x:c>
      <x:c r="C7" s="17" t="str">
        <x:v>Roles, Responsibilities, and Authorities</x:v>
      </x:c>
      <x:c r="D7" s="17" t="str">
        <x:v>Establish and communicate cybersecurity roles, responsibilities, and authority.</x:v>
      </x:c>
      <x:c r="E7" s="17" t="str">
        <x:v>Partial</x:v>
      </x:c>
      <x:c r="F7" s="17" t="str">
        <x:v>Formal responsibilities and escalation authority are incomplete.</x:v>
      </x:c>
      <x:c r="G7" s="17" t="str">
        <x:v>Create a responsibility matrix and formally assign control owners.</x:v>
      </x:c>
      <x:c r="H7" s="17" t="str">
        <x:v>Executive Leadership</x:v>
      </x:c>
      <x:c r="I7" s="17" t="str">
        <x:v>High</x:v>
      </x:c>
      <x:c r="J7" s="17" t="str">
        <x:v>All risks</x:v>
      </x:c>
    </x:row>
    <x:row r="8">
      <x:c r="A8" s="17" t="str">
        <x:v>GV.PO-01</x:v>
      </x:c>
      <x:c r="B8" s="17" t="str">
        <x:v>Govern</x:v>
      </x:c>
      <x:c r="C8" s="17" t="str">
        <x:v>Policy</x:v>
      </x:c>
      <x:c r="D8" s="17" t="str">
        <x:v>Establish, communicate, and enforce cybersecurity policies appropriate to Trainory.</x:v>
      </x:c>
      <x:c r="E8" s="17" t="str">
        <x:v>Not Implemented</x:v>
      </x:c>
      <x:c r="F8" s="17" t="str">
        <x:v>Trainory lacks an approved cybersecurity policy set.</x:v>
      </x:c>
      <x:c r="G8" s="17" t="str">
        <x:v>Create and approve core access, incident, acceptable-use, vendor, and data policies.</x:v>
      </x:c>
      <x:c r="H8" s="17" t="str">
        <x:v>Cybersecurity / Compliance</x:v>
      </x:c>
      <x:c r="I8" s="17" t="str">
        <x:v>High</x:v>
      </x:c>
      <x:c r="J8" s="17" t="str">
        <x:v>TRN-R001; TRN-R003; TRN-R005; TRN-R013</x:v>
      </x:c>
    </x:row>
    <x:row r="9">
      <x:c r="A9" s="17" t="str">
        <x:v>GV.SC-05</x:v>
      </x:c>
      <x:c r="B9" s="17" t="str">
        <x:v>Govern</x:v>
      </x:c>
      <x:c r="C9" s="17" t="str">
        <x:v>Cybersecurity Supply Chain Risk Management</x:v>
      </x:c>
      <x:c r="D9" s="17" t="str">
        <x:v>Include appropriate security requirements in relationships with important vendors.</x:v>
      </x:c>
      <x:c r="E9" s="17" t="str">
        <x:v>Partial</x:v>
      </x:c>
      <x:c r="F9" s="17" t="str">
        <x:v>Vendor risk tiering, reviews, and contract requirements are inconsistent.</x:v>
      </x:c>
      <x:c r="G9" s="17" t="str">
        <x:v>Create vendor tiers, a security questionnaire, review criteria, and contract clauses.</x:v>
      </x:c>
      <x:c r="H9" s="17" t="str">
        <x:v>Legal / Compliance</x:v>
      </x:c>
      <x:c r="I9" s="17" t="str">
        <x:v>High</x:v>
      </x:c>
      <x:c r="J9" s="17" t="str">
        <x:v>TRN-R004; TRN-R009; TRN-R015</x:v>
      </x:c>
    </x:row>
    <x:row r="10">
      <x:c r="A10" s="17" t="str">
        <x:v>ID.AM-01</x:v>
      </x:c>
      <x:c r="B10" s="17" t="str">
        <x:v>Identify</x:v>
      </x:c>
      <x:c r="C10" s="17" t="str">
        <x:v>Asset Management</x:v>
      </x:c>
      <x:c r="D10" s="17" t="str">
        <x:v>Maintain an inventory of company hardware.</x:v>
      </x:c>
      <x:c r="E10" s="17" t="str">
        <x:v>Partial</x:v>
      </x:c>
      <x:c r="F10" s="17" t="str">
        <x:v>Ownership and lifecycle details are incomplete.</x:v>
      </x:c>
      <x:c r="G10" s="17" t="str">
        <x:v>Centralize endpoint inventory and reconcile it quarterly.</x:v>
      </x:c>
      <x:c r="H10" s="17" t="str">
        <x:v>IT Support</x:v>
      </x:c>
      <x:c r="I10" s="17" t="str">
        <x:v>Medium</x:v>
      </x:c>
      <x:c r="J10" s="17" t="str">
        <x:v>TRN-R005; TRN-R014</x:v>
      </x:c>
    </x:row>
    <x:row r="11">
      <x:c r="A11" s="17" t="str">
        <x:v>ID.AM-02</x:v>
      </x:c>
      <x:c r="B11" s="17" t="str">
        <x:v>Identify</x:v>
      </x:c>
      <x:c r="C11" s="17" t="str">
        <x:v>Asset Management</x:v>
      </x:c>
      <x:c r="D11" s="17" t="str">
        <x:v>Maintain an inventory of software, services, systems, and cloud resources.</x:v>
      </x:c>
      <x:c r="E11" s="17" t="str">
        <x:v>Partial</x:v>
      </x:c>
      <x:c r="F11" s="17" t="str">
        <x:v>The inventory is new and has not been validated by all owners.</x:v>
      </x:c>
      <x:c r="G11" s="17" t="str">
        <x:v>Validate assets with owners and establish quarterly updates.</x:v>
      </x:c>
      <x:c r="H11" s="17" t="str">
        <x:v>IT / Cloud Engineering</x:v>
      </x:c>
      <x:c r="I11" s="17" t="str">
        <x:v>High</x:v>
      </x:c>
      <x:c r="J11" s="17" t="str">
        <x:v>TRN-R002; TRN-R006; TRN-R012</x:v>
      </x:c>
    </x:row>
    <x:row r="12">
      <x:c r="A12" s="17" t="str">
        <x:v>ID.AM-05</x:v>
      </x:c>
      <x:c r="B12" s="17" t="str">
        <x:v>Identify</x:v>
      </x:c>
      <x:c r="C12" s="17" t="str">
        <x:v>Asset Management</x:v>
      </x:c>
      <x:c r="D12" s="17" t="str">
        <x:v>Prioritize assets based on sensitivity, criticality, and business impact.</x:v>
      </x:c>
      <x:c r="E12" s="17" t="str">
        <x:v>Implemented</x:v>
      </x:c>
      <x:c r="F12" s="17" t="str">
        <x:v>Ratings are based on fictional assumptions and require owner approval.</x:v>
      </x:c>
      <x:c r="G12" s="17" t="str">
        <x:v>Review classifications and criticality with business and technical owners.</x:v>
      </x:c>
      <x:c r="H12" s="17" t="str">
        <x:v>Cybersecurity / Compliance</x:v>
      </x:c>
      <x:c r="I12" s="17" t="str">
        <x:v>Medium</x:v>
      </x:c>
      <x:c r="J12" s="17" t="str">
        <x:v>All risks</x:v>
      </x:c>
    </x:row>
    <x:row r="13">
      <x:c r="A13" s="17" t="str">
        <x:v>ID.RA-01</x:v>
      </x:c>
      <x:c r="B13" s="17" t="str">
        <x:v>Identify</x:v>
      </x:c>
      <x:c r="C13" s="17" t="str">
        <x:v>Risk Assessment</x:v>
      </x:c>
      <x:c r="D13" s="17" t="str">
        <x:v>Identify, record, validate, and manage system vulnerabilities.</x:v>
      </x:c>
      <x:c r="E13" s="17" t="str">
        <x:v>Partial</x:v>
      </x:c>
      <x:c r="F13" s="17" t="str">
        <x:v>Scanning and remediation timelines are not standardized.</x:v>
      </x:c>
      <x:c r="G13" s="17" t="str">
        <x:v>Implement recurring vulnerability scans and severity-based remediation SLAs.</x:v>
      </x:c>
      <x:c r="H13" s="17" t="str">
        <x:v>Software Development</x:v>
      </x:c>
      <x:c r="I13" s="17" t="str">
        <x:v>Critical</x:v>
      </x:c>
      <x:c r="J13" s="17" t="str">
        <x:v>TRN-R002; TRN-R006; TRN-R007</x:v>
      </x:c>
    </x:row>
    <x:row r="14">
      <x:c r="A14" s="17" t="str">
        <x:v>ID.RA-03</x:v>
      </x:c>
      <x:c r="B14" s="17" t="str">
        <x:v>Identify</x:v>
      </x:c>
      <x:c r="C14" s="17" t="str">
        <x:v>Risk Assessment</x:v>
      </x:c>
      <x:c r="D14" s="17" t="str">
        <x:v>Identify and record credible internal and external threats.</x:v>
      </x:c>
      <x:c r="E14" s="17" t="str">
        <x:v>Implemented</x:v>
      </x:c>
      <x:c r="F14" s="17" t="str">
        <x:v>Threat review is not yet recurring or tied to external intelligence.</x:v>
      </x:c>
      <x:c r="G14" s="17" t="str">
        <x:v>Review threat scenarios quarterly and after major technology changes.</x:v>
      </x:c>
      <x:c r="H14" s="17" t="str">
        <x:v>Cybersecurity / Compliance</x:v>
      </x:c>
      <x:c r="I14" s="17" t="str">
        <x:v>Medium</x:v>
      </x:c>
      <x:c r="J14" s="17" t="str">
        <x:v>All risks</x:v>
      </x:c>
    </x:row>
    <x:row r="15">
      <x:c r="A15" s="17" t="str">
        <x:v>ID.RA-05</x:v>
      </x:c>
      <x:c r="B15" s="17" t="str">
        <x:v>Identify</x:v>
      </x:c>
      <x:c r="C15" s="17" t="str">
        <x:v>Risk Assessment</x:v>
      </x:c>
      <x:c r="D15" s="17" t="str">
        <x:v>Estimate likelihood and impact to understand cybersecurity risk.</x:v>
      </x:c>
      <x:c r="E15" s="17" t="str">
        <x:v>Implemented</x:v>
      </x:c>
      <x:c r="F15" s="17" t="str">
        <x:v>Scoring has not yet been challenged or approved by management.</x:v>
      </x:c>
      <x:c r="G15" s="17" t="str">
        <x:v>Conduct owner review and record scoring decisions.</x:v>
      </x:c>
      <x:c r="H15" s="17" t="str">
        <x:v>Cybersecurity / Compliance</x:v>
      </x:c>
      <x:c r="I15" s="17" t="str">
        <x:v>Medium</x:v>
      </x:c>
      <x:c r="J15" s="17" t="str">
        <x:v>All risks</x:v>
      </x:c>
    </x:row>
    <x:row r="16">
      <x:c r="A16" s="17" t="str">
        <x:v>ID.RA-06</x:v>
      </x:c>
      <x:c r="B16" s="17" t="str">
        <x:v>Identify</x:v>
      </x:c>
      <x:c r="C16" s="17" t="str">
        <x:v>Risk Assessment</x:v>
      </x:c>
      <x:c r="D16" s="17" t="str">
        <x:v>Choose, prioritize, track, and communicate risk responses.</x:v>
      </x:c>
      <x:c r="E16" s="17" t="str">
        <x:v>Partial</x:v>
      </x:c>
      <x:c r="F16" s="17" t="str">
        <x:v>Management acceptance and escalation rules are not documented.</x:v>
      </x:c>
      <x:c r="G16" s="17" t="str">
        <x:v>Define approval thresholds and monthly remediation reporting.</x:v>
      </x:c>
      <x:c r="H16" s="17" t="str">
        <x:v>Cybersecurity / Compliance</x:v>
      </x:c>
      <x:c r="I16" s="17" t="str">
        <x:v>High</x:v>
      </x:c>
      <x:c r="J16" s="17" t="str">
        <x:v>All risks</x:v>
      </x:c>
    </x:row>
    <x:row r="17">
      <x:c r="A17" s="17" t="str">
        <x:v>PR.AA-01</x:v>
      </x:c>
      <x:c r="B17" s="17" t="str">
        <x:v>Protect</x:v>
      </x:c>
      <x:c r="C17" s="17" t="str">
        <x:v>Identity Management, Authentication, and Access Control</x:v>
      </x:c>
      <x:c r="D17" s="17" t="str">
        <x:v>Manage identities and credentials for authorized users and services.</x:v>
      </x:c>
      <x:c r="E17" s="17" t="str">
        <x:v>Partial</x:v>
      </x:c>
      <x:c r="F17" s="17" t="str">
        <x:v>Customer MFA and centralized identity lifecycle controls are incomplete.</x:v>
      </x:c>
      <x:c r="G17" s="17" t="str">
        <x:v>Expand MFA, centralize account records, and document credential lifecycle rules.</x:v>
      </x:c>
      <x:c r="H17" s="17" t="str">
        <x:v>Cybersecurity / IT</x:v>
      </x:c>
      <x:c r="I17" s="17" t="str">
        <x:v>Critical</x:v>
      </x:c>
      <x:c r="J17" s="17" t="str">
        <x:v>TRN-R001; TRN-R003; TRN-R014</x:v>
      </x:c>
    </x:row>
    <x:row r="18">
      <x:c r="A18" s="17" t="str">
        <x:v>PR.AA-05</x:v>
      </x:c>
      <x:c r="B18" s="17" t="str">
        <x:v>Protect</x:v>
      </x:c>
      <x:c r="C18" s="17" t="str">
        <x:v>Identity Management, Authentication, and Access Control</x:v>
      </x:c>
      <x:c r="D18" s="17" t="str">
        <x:v>Manage permissions using least privilege, separation of duties, and recurring review.</x:v>
      </x:c>
      <x:c r="E18" s="17" t="str">
        <x:v>Partial</x:v>
      </x:c>
      <x:c r="F18" s="17" t="str">
        <x:v>Quarterly reviews and formal privileged-access approval are missing.</x:v>
      </x:c>
      <x:c r="G18" s="17" t="str">
        <x:v>Implement access reviews, privileged-role approval, and evidence retention.</x:v>
      </x:c>
      <x:c r="H18" s="17" t="str">
        <x:v>Cybersecurity / IT</x:v>
      </x:c>
      <x:c r="I18" s="17" t="str">
        <x:v>Critical</x:v>
      </x:c>
      <x:c r="J18" s="17" t="str">
        <x:v>TRN-R003; TRN-R008; TRN-R014</x:v>
      </x:c>
    </x:row>
    <x:row r="19">
      <x:c r="A19" s="17" t="str">
        <x:v>PR.DS-01</x:v>
      </x:c>
      <x:c r="B19" s="17" t="str">
        <x:v>Protect</x:v>
      </x:c>
      <x:c r="C19" s="17" t="str">
        <x:v>Data Security</x:v>
      </x:c>
      <x:c r="D19" s="17" t="str">
        <x:v>Protect sensitive data stored by Trainory and its providers.</x:v>
      </x:c>
      <x:c r="E19" s="17" t="str">
        <x:v>Partial</x:v>
      </x:c>
      <x:c r="F19" s="17" t="str">
        <x:v>Encryption coverage and key-management settings are not fully evidenced.</x:v>
      </x:c>
      <x:c r="G19" s="17" t="str">
        <x:v>Verify encryption coverage, ownership, key rotation, and exception handling.</x:v>
      </x:c>
      <x:c r="H19" s="17" t="str">
        <x:v>IT / Cloud Engineering</x:v>
      </x:c>
      <x:c r="I19" s="17" t="str">
        <x:v>Critical</x:v>
      </x:c>
      <x:c r="J19" s="17" t="str">
        <x:v>TRN-R001; TRN-R002; TRN-R013</x:v>
      </x:c>
    </x:row>
    <x:row r="20">
      <x:c r="A20" s="17" t="str">
        <x:v>PR.DS-02</x:v>
      </x:c>
      <x:c r="B20" s="17" t="str">
        <x:v>Protect</x:v>
      </x:c>
      <x:c r="C20" s="17" t="str">
        <x:v>Data Security</x:v>
      </x:c>
      <x:c r="D20" s="17" t="str">
        <x:v>Protect sensitive data transmitted between users, systems, and vendors.</x:v>
      </x:c>
      <x:c r="E20" s="17" t="str">
        <x:v>Partial</x:v>
      </x:c>
      <x:c r="F20" s="17" t="str">
        <x:v>Transport settings and API token protections need formal review.</x:v>
      </x:c>
      <x:c r="G20" s="17" t="str">
        <x:v>Review TLS settings, API authentication, token storage, and certificate monitoring.</x:v>
      </x:c>
      <x:c r="H20" s="17" t="str">
        <x:v>Software Development</x:v>
      </x:c>
      <x:c r="I20" s="17" t="str">
        <x:v>High</x:v>
      </x:c>
      <x:c r="J20" s="17" t="str">
        <x:v>TRN-R004; TRN-R009; TRN-R010</x:v>
      </x:c>
    </x:row>
    <x:row r="21">
      <x:c r="A21" s="17" t="str">
        <x:v>PR.PS-01</x:v>
      </x:c>
      <x:c r="B21" s="17" t="str">
        <x:v>Protect</x:v>
      </x:c>
      <x:c r="C21" s="17" t="str">
        <x:v>Platform Security</x:v>
      </x:c>
      <x:c r="D21" s="17" t="str">
        <x:v>Establish and maintain approved security configuration practices.</x:v>
      </x:c>
      <x:c r="E21" s="17" t="str">
        <x:v>Not Implemented</x:v>
      </x:c>
      <x:c r="F21" s="17" t="str">
        <x:v>No documented baselines or automated drift detection.</x:v>
      </x:c>
      <x:c r="G21" s="17" t="str">
        <x:v>Create secure baselines and implement cloud configuration monitoring.</x:v>
      </x:c>
      <x:c r="H21" s="17" t="str">
        <x:v>IT / Cloud Engineering</x:v>
      </x:c>
      <x:c r="I21" s="17" t="str">
        <x:v>Critical</x:v>
      </x:c>
      <x:c r="J21" s="17" t="str">
        <x:v>TRN-R002; TRN-R003</x:v>
      </x:c>
    </x:row>
    <x:row r="22">
      <x:c r="A22" s="17" t="str">
        <x:v>PR.PS-02</x:v>
      </x:c>
      <x:c r="B22" s="17" t="str">
        <x:v>Protect</x:v>
      </x:c>
      <x:c r="C22" s="17" t="str">
        <x:v>Platform Security</x:v>
      </x:c>
      <x:c r="D22" s="17" t="str">
        <x:v>Maintain, replace, and remove software according to risk.</x:v>
      </x:c>
      <x:c r="E22" s="17" t="str">
        <x:v>Partial</x:v>
      </x:c>
      <x:c r="F22" s="17" t="str">
        <x:v>Patch deadlines and exception handling are inconsistent.</x:v>
      </x:c>
      <x:c r="G22" s="17" t="str">
        <x:v>Adopt severity-based patch SLAs, compliance reporting, and exception approval.</x:v>
      </x:c>
      <x:c r="H22" s="17" t="str">
        <x:v>IT / Software Development</x:v>
      </x:c>
      <x:c r="I22" s="17" t="str">
        <x:v>Critical</x:v>
      </x:c>
      <x:c r="J22" s="17" t="str">
        <x:v>TRN-R005; TRN-R006</x:v>
      </x:c>
    </x:row>
    <x:row r="23">
      <x:c r="A23" s="17" t="str">
        <x:v>PR.PS-04</x:v>
      </x:c>
      <x:c r="B23" s="17" t="str">
        <x:v>Protect</x:v>
      </x:c>
      <x:c r="C23" s="17" t="str">
        <x:v>Platform Security</x:v>
      </x:c>
      <x:c r="D23" s="17" t="str">
        <x:v>Generate and retain logs needed for continuous monitoring.</x:v>
      </x:c>
      <x:c r="E23" s="17" t="str">
        <x:v>Partial</x:v>
      </x:c>
      <x:c r="F23" s="17" t="str">
        <x:v>Coverage, retention, ownership, and review expectations are incomplete.</x:v>
      </x:c>
      <x:c r="G23" s="17" t="str">
        <x:v>Define required log sources, retention periods, alerts, and review responsibilities.</x:v>
      </x:c>
      <x:c r="H23" s="17" t="str">
        <x:v>Cybersecurity / IT</x:v>
      </x:c>
      <x:c r="I23" s="17" t="str">
        <x:v>High</x:v>
      </x:c>
      <x:c r="J23" s="17" t="str">
        <x:v>TRN-R008; TRN-R012</x:v>
      </x:c>
    </x:row>
    <x:row r="24">
      <x:c r="A24" s="17" t="str">
        <x:v>DE.CM-01</x:v>
      </x:c>
      <x:c r="B24" s="17" t="str">
        <x:v>Detect</x:v>
      </x:c>
      <x:c r="C24" s="17" t="str">
        <x:v>Continuous Monitoring</x:v>
      </x:c>
      <x:c r="D24" s="17" t="str">
        <x:v>Monitor networks and services for potentially adverse activity.</x:v>
      </x:c>
      <x:c r="E24" s="17" t="str">
        <x:v>Partial</x:v>
      </x:c>
      <x:c r="F24" s="17" t="str">
        <x:v>Security alert coverage and response ownership are limited.</x:v>
      </x:c>
      <x:c r="G24" s="17" t="str">
        <x:v>Centralize alerts and monitor authentication, cloud, endpoint, and application events.</x:v>
      </x:c>
      <x:c r="H24" s="17" t="str">
        <x:v>Cybersecurity / IT</x:v>
      </x:c>
      <x:c r="I24" s="17" t="str">
        <x:v>High</x:v>
      </x:c>
      <x:c r="J24" s="17" t="str">
        <x:v>TRN-R001; TRN-R002; TRN-R012; TRN-R015</x:v>
      </x:c>
    </x:row>
    <x:row r="25">
      <x:c r="A25" s="17" t="str">
        <x:v>RS.MA-01</x:v>
      </x:c>
      <x:c r="B25" s="17" t="str">
        <x:v>Respond</x:v>
      </x:c>
      <x:c r="C25" s="17" t="str">
        <x:v>Incident Management</x:v>
      </x:c>
      <x:c r="D25" s="17" t="str">
        <x:v>Execute an incident-response plan when an event is declared.</x:v>
      </x:c>
      <x:c r="E25" s="17" t="str">
        <x:v>Not Implemented</x:v>
      </x:c>
      <x:c r="F25" s="17" t="str">
        <x:v>No approved plan, severity model, roles, or exercise records.</x:v>
      </x:c>
      <x:c r="G25" s="17" t="str">
        <x:v>Create an incident-response plan and conduct a credential-compromise tabletop exercise.</x:v>
      </x:c>
      <x:c r="H25" s="17" t="str">
        <x:v>Cybersecurity / Compliance</x:v>
      </x:c>
      <x:c r="I25" s="17" t="str">
        <x:v>Critical</x:v>
      </x:c>
      <x:c r="J25" s="17" t="str">
        <x:v>TRN-R001; TRN-R005; TRN-R010; TRN-R012</x:v>
      </x:c>
    </x:row>
    <x:row r="26">
      <x:c r="A26" s="18" t="str">
        <x:v>RC.RP-01</x:v>
      </x:c>
      <x:c r="B26" s="18" t="str">
        <x:v>Recover</x:v>
      </x:c>
      <x:c r="C26" s="18" t="str">
        <x:v>Incident Recovery Plan Execution</x:v>
      </x:c>
      <x:c r="D26" s="18" t="str">
        <x:v>Execute a recovery plan and restore critical operations after an incident.</x:v>
      </x:c>
      <x:c r="E26" s="18" t="str">
        <x:v>Partial</x:v>
      </x:c>
      <x:c r="F26" s="18" t="str">
        <x:v>Recovery objectives and restoration testing are not documented.</x:v>
      </x:c>
      <x:c r="G26" s="18" t="str">
        <x:v>Define recovery objectives and test restoration and communication procedures quarterly.</x:v>
      </x:c>
      <x:c r="H26" s="18" t="str">
        <x:v>IT / Cloud Engineering</x:v>
      </x:c>
      <x:c r="I26" s="18" t="str">
        <x:v>Critical</x:v>
      </x:c>
      <x:c r="J26" s="18" t="str">
        <x:v>TRN-R011; TRN-R015</x:v>
      </x:c>
    </x:row>
  </x:sheetData>
  <x:mergeCells>
    <x:mergeCell ref="A1:J1"/>
    <x:mergeCell ref="A2:J2"/>
  </x:mergeCells>
  <x:conditionalFormatting sqref="E5:E26">
    <x:cfRule type="containsText" dxfId="12" priority="1" operator="containsText" text="Critical"/>
    <x:cfRule type="containsText" dxfId="13" priority="2" operator="containsText" text="High"/>
    <x:cfRule type="containsText" dxfId="14" priority="3" operator="containsText" text="Moderate"/>
    <x:cfRule type="containsText" dxfId="15" priority="4" operator="containsText" text="Implemented"/>
    <x:cfRule type="containsText" dxfId="16" priority="5" operator="containsText" text="Retain"/>
    <x:cfRule type="containsText" dxfId="17" priority="6" operator="containsText" text="Yes"/>
  </x:conditionalFormatting>
  <x:conditionalFormatting sqref="I5:I26">
    <x:cfRule type="containsText" dxfId="18" priority="7" operator="containsText" text="Critical"/>
    <x:cfRule type="containsText" dxfId="19" priority="8" operator="containsText" text="High"/>
    <x:cfRule type="containsText" dxfId="20" priority="9" operator="containsText" text="Moderate"/>
    <x:cfRule type="containsText" dxfId="21" priority="10" operator="containsText" text="Implemented"/>
    <x:cfRule type="containsText" dxfId="22" priority="11" operator="containsText" text="Retain"/>
    <x:cfRule type="containsText" dxfId="23" priority="12" operator="containsText" text="Yes"/>
  </x:conditionalFormatting>
  <x:pageMargins left="0.7" right="0.7" top="0.75" bottom="0.75" header="0.3" footer="0.3"/>
  <x:tableParts count="1">
    <x:tablePart xmlns:r="http://schemas.openxmlformats.org/officeDocument/2006/relationships" r:id="R8dca64c5eb564bb2"/>
  </x:tableParts>
</x:worksheet>
</file>

<file path=xl/worksheets/sheet5.xml><?xml version="1.0" encoding="utf-8"?>
<x:worksheet xmlns:x="http://schemas.openxmlformats.org/spreadsheetml/2006/main">
  <x:sheetViews>
    <x:sheetView showGridLines="0" workbookViewId="0"/>
  </x:sheetViews>
  <x:sheetFormatPr defaultRowHeight="15"/>
  <x:cols>
    <x:col min="1" max="1" width="14" hidden="0" customWidth="1"/>
    <x:col min="2" max="2" width="22" hidden="0" customWidth="1"/>
    <x:col min="3" max="3" width="52" hidden="0" customWidth="1"/>
    <x:col min="4" max="4"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24" hidden="0" customWidth="1"/>
    <x:col min="13" max="13" width="16" hidden="0" customWidth="1"/>
  </x:cols>
  <x:sheetData>
    <x:row r="1" ht="32" customHeight="1">
      <x:c r="A1" s="3" t="str">
        <x:v>Trainory | Vendor Data</x:v>
      </x:c>
      <x:c r="B1" s="3" t="str">
        <x:v>Trainory | Vendor Data</x:v>
      </x:c>
      <x:c r="C1" s="3" t="str">
        <x:v>Trainory | Vendor Data</x:v>
      </x:c>
      <x:c r="D1" s="3" t="str">
        <x:v>Trainory | Vendor Data</x:v>
      </x:c>
      <x:c r="E1" s="3" t="str">
        <x:v>Trainory | Vendor Data</x:v>
      </x:c>
      <x:c r="F1" s="3" t="str">
        <x:v>Trainory | Vendor Data</x:v>
      </x:c>
      <x:c r="G1" s="3" t="str">
        <x:v>Trainory | Vendor Data</x:v>
      </x:c>
      <x:c r="H1" s="3" t="str">
        <x:v>Trainory | Vendor Data</x:v>
      </x:c>
      <x:c r="I1" s="3" t="str">
        <x:v>Trainory | Vendor Data</x:v>
      </x:c>
      <x:c r="J1" s="3" t="str">
        <x:v>Trainory | Vendor Data</x:v>
      </x:c>
      <x:c r="K1" s="3" t="str">
        <x:v>Trainory | Vendor Data</x:v>
      </x:c>
      <x:c r="L1" s="3" t="str">
        <x:v>Trainory | Vendor Data</x:v>
      </x:c>
      <x:c r="M1" s="3" t="str">
        <x:v>Trainory | Vendor Data</x:v>
      </x:c>
    </x:row>
    <x:row r="2" ht="24" customHeight="1">
      <x:c r="A2" s="6" t="str">
        <x:v>Control-level analytics from the approved Step 7 VitaSync assessment</x:v>
      </x:c>
      <x:c r="B2" s="6" t="str">
        <x:v>Control-level analytics from the approved Step 7 VitaSync assessment</x:v>
      </x:c>
      <x:c r="C2" s="6" t="str">
        <x:v>Control-level analytics from the approved Step 7 VitaSync assessment</x:v>
      </x:c>
      <x:c r="D2" s="6" t="str">
        <x:v>Control-level analytics from the approved Step 7 VitaSync assessment</x:v>
      </x:c>
      <x:c r="E2" s="6" t="str">
        <x:v>Control-level analytics from the approved Step 7 VitaSync assessment</x:v>
      </x:c>
      <x:c r="F2" s="6" t="str">
        <x:v>Control-level analytics from the approved Step 7 VitaSync assessment</x:v>
      </x:c>
      <x:c r="G2" s="6" t="str">
        <x:v>Control-level analytics from the approved Step 7 VitaSync assessment</x:v>
      </x:c>
      <x:c r="H2" s="6" t="str">
        <x:v>Control-level analytics from the approved Step 7 VitaSync assessment</x:v>
      </x:c>
      <x:c r="I2" s="6" t="str">
        <x:v>Control-level analytics from the approved Step 7 VitaSync assessment</x:v>
      </x:c>
      <x:c r="J2" s="6" t="str">
        <x:v>Control-level analytics from the approved Step 7 VitaSync assessment</x:v>
      </x:c>
      <x:c r="K2" s="6" t="str">
        <x:v>Control-level analytics from the approved Step 7 VitaSync assessment</x:v>
      </x:c>
      <x:c r="L2" s="6" t="str">
        <x:v>Control-level analytics from the approved Step 7 VitaSync assessment</x:v>
      </x:c>
      <x:c r="M2" s="6" t="str">
        <x:v>Control-level analytics from the approved Step 7 VitaSync assessment</x:v>
      </x:c>
    </x:row>
    <x:row r="4" ht="34" customHeight="1">
      <x:c r="A4" s="12" t="str">
        <x:v>Question ID</x:v>
      </x:c>
      <x:c r="B4" s="12" t="str">
        <x:v>Domain</x:v>
      </x:c>
      <x:c r="C4" s="12" t="str">
        <x:v>Control Question</x:v>
      </x:c>
      <x:c r="D4" s="12" t="str">
        <x:v>Weight</x:v>
      </x:c>
      <x:c r="E4" s="12" t="str">
        <x:v>Response</x:v>
      </x:c>
      <x:c r="F4" s="12" t="str">
        <x:v>Evidence Quality</x:v>
      </x:c>
      <x:c r="G4" s="12" t="str">
        <x:v>Response Score</x:v>
      </x:c>
      <x:c r="H4" s="12" t="str">
        <x:v>Weighted Points</x:v>
      </x:c>
      <x:c r="I4" s="12" t="str">
        <x:v>Maximum Points</x:v>
      </x:c>
      <x:c r="J4" s="12" t="str">
        <x:v>Control Score</x:v>
      </x:c>
      <x:c r="K4" s="12" t="str">
        <x:v>Risk Flag</x:v>
      </x:c>
      <x:c r="L4" s="12" t="str">
        <x:v>Owner</x:v>
      </x:c>
      <x:c r="M4" s="12" t="str">
        <x:v>Status</x:v>
      </x:c>
    </x:row>
    <x:row r="5">
      <x:c r="A5" s="17" t="str">
        <x:v>VRM-01</x:v>
      </x:c>
      <x:c r="B5" s="17" t="str">
        <x:v>Governance</x:v>
      </x:c>
      <x:c r="C5" s="17" t="str">
        <x:v>Does the vendor maintain an approved information-security program with assigned accountability?</x:v>
      </x:c>
      <x:c r="D5" s="17" t="n">
        <x:v>5</x:v>
      </x:c>
      <x:c r="E5" s="17" t="str">
        <x:v>Yes</x:v>
      </x:c>
      <x:c r="F5" s="17" t="str">
        <x:v>Moderate</x:v>
      </x:c>
      <x:c r="G5" s="17" t="n">
        <x:v>1</x:v>
      </x:c>
      <x:c r="H5" s="17" t="n">
        <x:v>5</x:v>
      </x:c>
      <x:c r="I5" s="17" t="n">
        <x:v>5</x:v>
      </x:c>
      <x:c r="J5" s="23" t="n">
        <x:v>1</x:v>
      </x:c>
      <x:c r="K5" s="17" t="str">
        <x:v>Low</x:v>
      </x:c>
      <x:c r="L5" s="17" t="str">
        <x:v>Cybersecurity / Compliance</x:v>
      </x:c>
      <x:c r="M5" s="17" t="str">
        <x:v>Complete</x:v>
      </x:c>
    </x:row>
    <x:row r="6">
      <x:c r="A6" s="17" t="str">
        <x:v>VRM-02</x:v>
      </x:c>
      <x:c r="B6" s="17" t="str">
        <x:v>Governance</x:v>
      </x:c>
      <x:c r="C6" s="17" t="str">
        <x:v>Does the vendor complete independent security assessments or certifications at least annually?</x:v>
      </x:c>
      <x:c r="D6" s="17" t="n">
        <x:v>5</x:v>
      </x:c>
      <x:c r="E6" s="17" t="str">
        <x:v>Partial</x:v>
      </x:c>
      <x:c r="F6" s="17" t="str">
        <x:v>Weak</x:v>
      </x:c>
      <x:c r="G6" s="17" t="n">
        <x:v>0.5</x:v>
      </x:c>
      <x:c r="H6" s="17" t="n">
        <x:v>2.5</x:v>
      </x:c>
      <x:c r="I6" s="17" t="n">
        <x:v>5</x:v>
      </x:c>
      <x:c r="J6" s="23" t="n">
        <x:v>0.5</x:v>
      </x:c>
      <x:c r="K6" s="17" t="str">
        <x:v>High</x:v>
      </x:c>
      <x:c r="L6" s="17" t="str">
        <x:v>Vendor Management</x:v>
      </x:c>
      <x:c r="M6" s="17" t="str">
        <x:v>Open</x:v>
      </x:c>
    </x:row>
    <x:row r="7">
      <x:c r="A7" s="17" t="str">
        <x:v>VRM-03</x:v>
      </x:c>
      <x:c r="B7" s="17" t="str">
        <x:v>Governance</x:v>
      </x:c>
      <x:c r="C7" s="17" t="str">
        <x:v>Are security exceptions, risks, and corrective actions formally tracked to closure?</x:v>
      </x:c>
      <x:c r="D7" s="17" t="n">
        <x:v>3</x:v>
      </x:c>
      <x:c r="E7" s="17" t="str">
        <x:v>Partial</x:v>
      </x:c>
      <x:c r="F7" s="17" t="str">
        <x:v>Moderate</x:v>
      </x:c>
      <x:c r="G7" s="17" t="n">
        <x:v>0.5</x:v>
      </x:c>
      <x:c r="H7" s="17" t="n">
        <x:v>1.5</x:v>
      </x:c>
      <x:c r="I7" s="17" t="n">
        <x:v>3</x:v>
      </x:c>
      <x:c r="J7" s="23" t="n">
        <x:v>0.5</x:v>
      </x:c>
      <x:c r="K7" s="17" t="str">
        <x:v>Moderate</x:v>
      </x:c>
      <x:c r="L7" s="17" t="str">
        <x:v>Vendor Management</x:v>
      </x:c>
      <x:c r="M7" s="17" t="str">
        <x:v>In Progress</x:v>
      </x:c>
    </x:row>
    <x:row r="8">
      <x:c r="A8" s="17" t="str">
        <x:v>VRM-04</x:v>
      </x:c>
      <x:c r="B8" s="17" t="str">
        <x:v>Identity &amp; Access</x:v>
      </x:c>
      <x:c r="C8" s="17" t="str">
        <x:v>Is MFA required for administrative and remote access?</x:v>
      </x:c>
      <x:c r="D8" s="17" t="n">
        <x:v>5</x:v>
      </x:c>
      <x:c r="E8" s="17" t="str">
        <x:v>Yes</x:v>
      </x:c>
      <x:c r="F8" s="17" t="str">
        <x:v>Strong</x:v>
      </x:c>
      <x:c r="G8" s="17" t="n">
        <x:v>1</x:v>
      </x:c>
      <x:c r="H8" s="17" t="n">
        <x:v>5</x:v>
      </x:c>
      <x:c r="I8" s="17" t="n">
        <x:v>5</x:v>
      </x:c>
      <x:c r="J8" s="23" t="n">
        <x:v>1</x:v>
      </x:c>
      <x:c r="K8" s="17" t="str">
        <x:v>Low</x:v>
      </x:c>
      <x:c r="L8" s="17" t="str">
        <x:v>Cybersecurity / IT</x:v>
      </x:c>
      <x:c r="M8" s="17" t="str">
        <x:v>Complete</x:v>
      </x:c>
    </x:row>
    <x:row r="9">
      <x:c r="A9" s="17" t="str">
        <x:v>VRM-05</x:v>
      </x:c>
      <x:c r="B9" s="17" t="str">
        <x:v>Identity &amp; Access</x:v>
      </x:c>
      <x:c r="C9" s="17" t="str">
        <x:v>Are privileged permissions limited, separately assigned, and reviewed at least quarterly?</x:v>
      </x:c>
      <x:c r="D9" s="17" t="n">
        <x:v>5</x:v>
      </x:c>
      <x:c r="E9" s="17" t="str">
        <x:v>Partial</x:v>
      </x:c>
      <x:c r="F9" s="17" t="str">
        <x:v>Moderate</x:v>
      </x:c>
      <x:c r="G9" s="17" t="n">
        <x:v>0.5</x:v>
      </x:c>
      <x:c r="H9" s="17" t="n">
        <x:v>2.5</x:v>
      </x:c>
      <x:c r="I9" s="17" t="n">
        <x:v>5</x:v>
      </x:c>
      <x:c r="J9" s="23" t="n">
        <x:v>0.5</x:v>
      </x:c>
      <x:c r="K9" s="17" t="str">
        <x:v>High</x:v>
      </x:c>
      <x:c r="L9" s="17" t="str">
        <x:v>Cybersecurity / IT</x:v>
      </x:c>
      <x:c r="M9" s="17" t="str">
        <x:v>Open</x:v>
      </x:c>
    </x:row>
    <x:row r="10">
      <x:c r="A10" s="17" t="str">
        <x:v>VRM-06</x:v>
      </x:c>
      <x:c r="B10" s="17" t="str">
        <x:v>Identity &amp; Access</x:v>
      </x:c>
      <x:c r="C10" s="17" t="str">
        <x:v>Are joiner, mover, and leaver activities documented and completed promptly?</x:v>
      </x:c>
      <x:c r="D10" s="17" t="n">
        <x:v>4</x:v>
      </x:c>
      <x:c r="E10" s="17" t="str">
        <x:v>Yes</x:v>
      </x:c>
      <x:c r="F10" s="17" t="str">
        <x:v>Moderate</x:v>
      </x:c>
      <x:c r="G10" s="17" t="n">
        <x:v>1</x:v>
      </x:c>
      <x:c r="H10" s="17" t="n">
        <x:v>4</x:v>
      </x:c>
      <x:c r="I10" s="17" t="n">
        <x:v>4</x:v>
      </x:c>
      <x:c r="J10" s="23" t="n">
        <x:v>1</x:v>
      </x:c>
      <x:c r="K10" s="17" t="str">
        <x:v>Low</x:v>
      </x:c>
      <x:c r="L10" s="17" t="str">
        <x:v>Vendor Management</x:v>
      </x:c>
      <x:c r="M10" s="17" t="str">
        <x:v>Complete</x:v>
      </x:c>
    </x:row>
    <x:row r="11">
      <x:c r="A11" s="17" t="str">
        <x:v>VRM-07</x:v>
      </x:c>
      <x:c r="B11" s="17" t="str">
        <x:v>Data Protection</x:v>
      </x:c>
      <x:c r="C11" s="17" t="str">
        <x:v>Is Trainory data encrypted in transit using current protocols?</x:v>
      </x:c>
      <x:c r="D11" s="17" t="n">
        <x:v>5</x:v>
      </x:c>
      <x:c r="E11" s="17" t="str">
        <x:v>Yes</x:v>
      </x:c>
      <x:c r="F11" s="17" t="str">
        <x:v>Strong</x:v>
      </x:c>
      <x:c r="G11" s="17" t="n">
        <x:v>1</x:v>
      </x:c>
      <x:c r="H11" s="17" t="n">
        <x:v>5</x:v>
      </x:c>
      <x:c r="I11" s="17" t="n">
        <x:v>5</x:v>
      </x:c>
      <x:c r="J11" s="23" t="n">
        <x:v>1</x:v>
      </x:c>
      <x:c r="K11" s="17" t="str">
        <x:v>Low</x:v>
      </x:c>
      <x:c r="L11" s="17" t="str">
        <x:v>Software Development</x:v>
      </x:c>
      <x:c r="M11" s="17" t="str">
        <x:v>Complete</x:v>
      </x:c>
    </x:row>
    <x:row r="12">
      <x:c r="A12" s="17" t="str">
        <x:v>VRM-08</x:v>
      </x:c>
      <x:c r="B12" s="17" t="str">
        <x:v>Data Protection</x:v>
      </x:c>
      <x:c r="C12" s="17" t="str">
        <x:v>Is Trainory data encrypted at rest, including backups?</x:v>
      </x:c>
      <x:c r="D12" s="17" t="n">
        <x:v>5</x:v>
      </x:c>
      <x:c r="E12" s="17" t="str">
        <x:v>Yes</x:v>
      </x:c>
      <x:c r="F12" s="17" t="str">
        <x:v>Moderate</x:v>
      </x:c>
      <x:c r="G12" s="17" t="n">
        <x:v>1</x:v>
      </x:c>
      <x:c r="H12" s="17" t="n">
        <x:v>5</x:v>
      </x:c>
      <x:c r="I12" s="17" t="n">
        <x:v>5</x:v>
      </x:c>
      <x:c r="J12" s="23" t="n">
        <x:v>1</x:v>
      </x:c>
      <x:c r="K12" s="17" t="str">
        <x:v>Low</x:v>
      </x:c>
      <x:c r="L12" s="17" t="str">
        <x:v>Cloud Engineering</x:v>
      </x:c>
      <x:c r="M12" s="17" t="str">
        <x:v>In Progress</x:v>
      </x:c>
    </x:row>
    <x:row r="13">
      <x:c r="A13" s="17" t="str">
        <x:v>VRM-09</x:v>
      </x:c>
      <x:c r="B13" s="17" t="str">
        <x:v>Data Protection</x:v>
      </x:c>
      <x:c r="C13" s="17" t="str">
        <x:v>Are tenant data and credentials logically separated?</x:v>
      </x:c>
      <x:c r="D13" s="17" t="n">
        <x:v>5</x:v>
      </x:c>
      <x:c r="E13" s="17" t="str">
        <x:v>Partial</x:v>
      </x:c>
      <x:c r="F13" s="17" t="str">
        <x:v>Moderate</x:v>
      </x:c>
      <x:c r="G13" s="17" t="n">
        <x:v>0.5</x:v>
      </x:c>
      <x:c r="H13" s="17" t="n">
        <x:v>2.5</x:v>
      </x:c>
      <x:c r="I13" s="17" t="n">
        <x:v>5</x:v>
      </x:c>
      <x:c r="J13" s="23" t="n">
        <x:v>0.5</x:v>
      </x:c>
      <x:c r="K13" s="17" t="str">
        <x:v>High</x:v>
      </x:c>
      <x:c r="L13" s="17" t="str">
        <x:v>Software Development</x:v>
      </x:c>
      <x:c r="M13" s="17" t="str">
        <x:v>Open</x:v>
      </x:c>
    </x:row>
    <x:row r="14">
      <x:c r="A14" s="17" t="str">
        <x:v>VRM-10</x:v>
      </x:c>
      <x:c r="B14" s="17" t="str">
        <x:v>Data Protection</x:v>
      </x:c>
      <x:c r="C14" s="17" t="str">
        <x:v>Are secrets and API credentials stored, rotated, and protected from source-code exposure?</x:v>
      </x:c>
      <x:c r="D14" s="17" t="n">
        <x:v>5</x:v>
      </x:c>
      <x:c r="E14" s="17" t="str">
        <x:v>Yes</x:v>
      </x:c>
      <x:c r="F14" s="17" t="str">
        <x:v>Moderate</x:v>
      </x:c>
      <x:c r="G14" s="17" t="n">
        <x:v>1</x:v>
      </x:c>
      <x:c r="H14" s="17" t="n">
        <x:v>5</x:v>
      </x:c>
      <x:c r="I14" s="17" t="n">
        <x:v>5</x:v>
      </x:c>
      <x:c r="J14" s="23" t="n">
        <x:v>1</x:v>
      </x:c>
      <x:c r="K14" s="17" t="str">
        <x:v>Low</x:v>
      </x:c>
      <x:c r="L14" s="17" t="str">
        <x:v>Software Development</x:v>
      </x:c>
      <x:c r="M14" s="17" t="str">
        <x:v>Complete</x:v>
      </x:c>
    </x:row>
    <x:row r="15">
      <x:c r="A15" s="17" t="str">
        <x:v>VRM-11</x:v>
      </x:c>
      <x:c r="B15" s="17" t="str">
        <x:v>Application Security</x:v>
      </x:c>
      <x:c r="C15" s="17" t="str">
        <x:v>Are secure-development requirements, peer review, and protected deployment approvals used?</x:v>
      </x:c>
      <x:c r="D15" s="17" t="n">
        <x:v>4</x:v>
      </x:c>
      <x:c r="E15" s="17" t="str">
        <x:v>Yes</x:v>
      </x:c>
      <x:c r="F15" s="17" t="str">
        <x:v>Moderate</x:v>
      </x:c>
      <x:c r="G15" s="17" t="n">
        <x:v>1</x:v>
      </x:c>
      <x:c r="H15" s="17" t="n">
        <x:v>4</x:v>
      </x:c>
      <x:c r="I15" s="17" t="n">
        <x:v>4</x:v>
      </x:c>
      <x:c r="J15" s="23" t="n">
        <x:v>1</x:v>
      </x:c>
      <x:c r="K15" s="17" t="str">
        <x:v>Low</x:v>
      </x:c>
      <x:c r="L15" s="17" t="str">
        <x:v>Software Development</x:v>
      </x:c>
      <x:c r="M15" s="17" t="str">
        <x:v>Complete</x:v>
      </x:c>
    </x:row>
    <x:row r="16">
      <x:c r="A16" s="17" t="str">
        <x:v>VRM-12</x:v>
      </x:c>
      <x:c r="B16" s="17" t="str">
        <x:v>Application Security</x:v>
      </x:c>
      <x:c r="C16" s="17" t="str">
        <x:v>Are code, dependency, and application vulnerabilities scanned and remediated by severity?</x:v>
      </x:c>
      <x:c r="D16" s="17" t="n">
        <x:v>5</x:v>
      </x:c>
      <x:c r="E16" s="17" t="str">
        <x:v>Partial</x:v>
      </x:c>
      <x:c r="F16" s="17" t="str">
        <x:v>Moderate</x:v>
      </x:c>
      <x:c r="G16" s="17" t="n">
        <x:v>0.5</x:v>
      </x:c>
      <x:c r="H16" s="17" t="n">
        <x:v>2.5</x:v>
      </x:c>
      <x:c r="I16" s="17" t="n">
        <x:v>5</x:v>
      </x:c>
      <x:c r="J16" s="23" t="n">
        <x:v>0.5</x:v>
      </x:c>
      <x:c r="K16" s="17" t="str">
        <x:v>High</x:v>
      </x:c>
      <x:c r="L16" s="17" t="str">
        <x:v>Software Development</x:v>
      </x:c>
      <x:c r="M16" s="17" t="str">
        <x:v>In Progress</x:v>
      </x:c>
    </x:row>
    <x:row r="17">
      <x:c r="A17" s="17" t="str">
        <x:v>VRM-13</x:v>
      </x:c>
      <x:c r="B17" s="17" t="str">
        <x:v>Application Security</x:v>
      </x:c>
      <x:c r="C17" s="17" t="str">
        <x:v>Is independent penetration testing performed annually and after major changes?</x:v>
      </x:c>
      <x:c r="D17" s="17" t="n">
        <x:v>4</x:v>
      </x:c>
      <x:c r="E17" s="17" t="str">
        <x:v>Yes</x:v>
      </x:c>
      <x:c r="F17" s="17" t="str">
        <x:v>Strong</x:v>
      </x:c>
      <x:c r="G17" s="17" t="n">
        <x:v>1</x:v>
      </x:c>
      <x:c r="H17" s="17" t="n">
        <x:v>4</x:v>
      </x:c>
      <x:c r="I17" s="17" t="n">
        <x:v>4</x:v>
      </x:c>
      <x:c r="J17" s="23" t="n">
        <x:v>1</x:v>
      </x:c>
      <x:c r="K17" s="17" t="str">
        <x:v>Low</x:v>
      </x:c>
      <x:c r="L17" s="17" t="str">
        <x:v>Cybersecurity / Compliance</x:v>
      </x:c>
      <x:c r="M17" s="17" t="str">
        <x:v>Complete</x:v>
      </x:c>
    </x:row>
    <x:row r="18">
      <x:c r="A18" s="17" t="str">
        <x:v>VRM-14</x:v>
      </x:c>
      <x:c r="B18" s="17" t="str">
        <x:v>Monitoring &amp; Response</x:v>
      </x:c>
      <x:c r="C18" s="17" t="str">
        <x:v>Are authentication, administrative, API, and data-access events centrally logged and monitored?</x:v>
      </x:c>
      <x:c r="D18" s="17" t="n">
        <x:v>5</x:v>
      </x:c>
      <x:c r="E18" s="17" t="str">
        <x:v>Partial</x:v>
      </x:c>
      <x:c r="F18" s="17" t="str">
        <x:v>Moderate</x:v>
      </x:c>
      <x:c r="G18" s="17" t="n">
        <x:v>0.5</x:v>
      </x:c>
      <x:c r="H18" s="17" t="n">
        <x:v>2.5</x:v>
      </x:c>
      <x:c r="I18" s="17" t="n">
        <x:v>5</x:v>
      </x:c>
      <x:c r="J18" s="23" t="n">
        <x:v>0.5</x:v>
      </x:c>
      <x:c r="K18" s="17" t="str">
        <x:v>High</x:v>
      </x:c>
      <x:c r="L18" s="17" t="str">
        <x:v>Cybersecurity / IT</x:v>
      </x:c>
      <x:c r="M18" s="17" t="str">
        <x:v>Open</x:v>
      </x:c>
    </x:row>
    <x:row r="19">
      <x:c r="A19" s="17" t="str">
        <x:v>VRM-15</x:v>
      </x:c>
      <x:c r="B19" s="17" t="str">
        <x:v>Monitoring &amp; Response</x:v>
      </x:c>
      <x:c r="C19" s="17" t="str">
        <x:v>Does the vendor maintain and exercise an incident-response plan?</x:v>
      </x:c>
      <x:c r="D19" s="17" t="n">
        <x:v>5</x:v>
      </x:c>
      <x:c r="E19" s="17" t="str">
        <x:v>Yes</x:v>
      </x:c>
      <x:c r="F19" s="17" t="str">
        <x:v>Strong</x:v>
      </x:c>
      <x:c r="G19" s="17" t="n">
        <x:v>1</x:v>
      </x:c>
      <x:c r="H19" s="17" t="n">
        <x:v>5</x:v>
      </x:c>
      <x:c r="I19" s="17" t="n">
        <x:v>5</x:v>
      </x:c>
      <x:c r="J19" s="23" t="n">
        <x:v>1</x:v>
      </x:c>
      <x:c r="K19" s="17" t="str">
        <x:v>Low</x:v>
      </x:c>
      <x:c r="L19" s="17" t="str">
        <x:v>Cybersecurity / Compliance</x:v>
      </x:c>
      <x:c r="M19" s="17" t="str">
        <x:v>Complete</x:v>
      </x:c>
    </x:row>
    <x:row r="20">
      <x:c r="A20" s="17" t="str">
        <x:v>VRM-16</x:v>
      </x:c>
      <x:c r="B20" s="17" t="str">
        <x:v>Monitoring &amp; Response</x:v>
      </x:c>
      <x:c r="C20" s="17" t="str">
        <x:v>Will the vendor contractually notify Trainory promptly of relevant security incidents?</x:v>
      </x:c>
      <x:c r="D20" s="17" t="n">
        <x:v>5</x:v>
      </x:c>
      <x:c r="E20" s="17" t="str">
        <x:v>Partial</x:v>
      </x:c>
      <x:c r="F20" s="17" t="str">
        <x:v>Weak</x:v>
      </x:c>
      <x:c r="G20" s="17" t="n">
        <x:v>0.5</x:v>
      </x:c>
      <x:c r="H20" s="17" t="n">
        <x:v>2.5</x:v>
      </x:c>
      <x:c r="I20" s="17" t="n">
        <x:v>5</x:v>
      </x:c>
      <x:c r="J20" s="23" t="n">
        <x:v>0.5</x:v>
      </x:c>
      <x:c r="K20" s="17" t="str">
        <x:v>High</x:v>
      </x:c>
      <x:c r="L20" s="17" t="str">
        <x:v>Privacy / Legal</x:v>
      </x:c>
      <x:c r="M20" s="17" t="str">
        <x:v>Open</x:v>
      </x:c>
    </x:row>
    <x:row r="21">
      <x:c r="A21" s="17" t="str">
        <x:v>VRM-17</x:v>
      </x:c>
      <x:c r="B21" s="17" t="str">
        <x:v>Resilience</x:v>
      </x:c>
      <x:c r="C21" s="17" t="str">
        <x:v>Are backup scope, frequency, isolation, and restoration responsibilities documented?</x:v>
      </x:c>
      <x:c r="D21" s="17" t="n">
        <x:v>5</x:v>
      </x:c>
      <x:c r="E21" s="17" t="str">
        <x:v>Yes</x:v>
      </x:c>
      <x:c r="F21" s="17" t="str">
        <x:v>Moderate</x:v>
      </x:c>
      <x:c r="G21" s="17" t="n">
        <x:v>1</x:v>
      </x:c>
      <x:c r="H21" s="17" t="n">
        <x:v>5</x:v>
      </x:c>
      <x:c r="I21" s="17" t="n">
        <x:v>5</x:v>
      </x:c>
      <x:c r="J21" s="23" t="n">
        <x:v>1</x:v>
      </x:c>
      <x:c r="K21" s="17" t="str">
        <x:v>Low</x:v>
      </x:c>
      <x:c r="L21" s="17" t="str">
        <x:v>Cloud Engineering</x:v>
      </x:c>
      <x:c r="M21" s="17" t="str">
        <x:v>In Progress</x:v>
      </x:c>
    </x:row>
    <x:row r="22">
      <x:c r="A22" s="17" t="str">
        <x:v>VRM-18</x:v>
      </x:c>
      <x:c r="B22" s="17" t="str">
        <x:v>Resilience</x:v>
      </x:c>
      <x:c r="C22" s="17" t="str">
        <x:v>Has the vendor tested disaster recovery and provided results against recovery objectives?</x:v>
      </x:c>
      <x:c r="D22" s="17" t="n">
        <x:v>5</x:v>
      </x:c>
      <x:c r="E22" s="17" t="str">
        <x:v>No</x:v>
      </x:c>
      <x:c r="F22" s="17" t="str">
        <x:v>None</x:v>
      </x:c>
      <x:c r="G22" s="17" t="n">
        <x:v>0</x:v>
      </x:c>
      <x:c r="H22" s="17" t="n">
        <x:v>0</x:v>
      </x:c>
      <x:c r="I22" s="17" t="n">
        <x:v>5</x:v>
      </x:c>
      <x:c r="J22" s="23" t="n">
        <x:v>0</x:v>
      </x:c>
      <x:c r="K22" s="17" t="str">
        <x:v>High</x:v>
      </x:c>
      <x:c r="L22" s="17" t="str">
        <x:v>Vendor Management</x:v>
      </x:c>
      <x:c r="M22" s="17" t="str">
        <x:v>Open</x:v>
      </x:c>
    </x:row>
    <x:row r="23">
      <x:c r="A23" s="17" t="str">
        <x:v>VRM-19</x:v>
      </x:c>
      <x:c r="B23" s="17" t="str">
        <x:v>Resilience</x:v>
      </x:c>
      <x:c r="C23" s="17" t="str">
        <x:v>Are uptime commitments, escalation contacts, and continuity procedures contractually defined?</x:v>
      </x:c>
      <x:c r="D23" s="17" t="n">
        <x:v>4</x:v>
      </x:c>
      <x:c r="E23" s="17" t="str">
        <x:v>Partial</x:v>
      </x:c>
      <x:c r="F23" s="17" t="str">
        <x:v>Moderate</x:v>
      </x:c>
      <x:c r="G23" s="17" t="n">
        <x:v>0.5</x:v>
      </x:c>
      <x:c r="H23" s="17" t="n">
        <x:v>2</x:v>
      </x:c>
      <x:c r="I23" s="17" t="n">
        <x:v>4</x:v>
      </x:c>
      <x:c r="J23" s="23" t="n">
        <x:v>0.5</x:v>
      </x:c>
      <x:c r="K23" s="17" t="str">
        <x:v>Moderate</x:v>
      </x:c>
      <x:c r="L23" s="17" t="str">
        <x:v>Product Management</x:v>
      </x:c>
      <x:c r="M23" s="17" t="str">
        <x:v>In Progress</x:v>
      </x:c>
    </x:row>
    <x:row r="24">
      <x:c r="A24" s="17" t="str">
        <x:v>VRM-20</x:v>
      </x:c>
      <x:c r="B24" s="17" t="str">
        <x:v>Privacy</x:v>
      </x:c>
      <x:c r="C24" s="17" t="str">
        <x:v>Are collection, use, sharing, and consent responsibilities defined for wellness data?</x:v>
      </x:c>
      <x:c r="D24" s="17" t="n">
        <x:v>5</x:v>
      </x:c>
      <x:c r="E24" s="17" t="str">
        <x:v>Yes</x:v>
      </x:c>
      <x:c r="F24" s="17" t="str">
        <x:v>Moderate</x:v>
      </x:c>
      <x:c r="G24" s="17" t="n">
        <x:v>1</x:v>
      </x:c>
      <x:c r="H24" s="17" t="n">
        <x:v>5</x:v>
      </x:c>
      <x:c r="I24" s="17" t="n">
        <x:v>5</x:v>
      </x:c>
      <x:c r="J24" s="23" t="n">
        <x:v>1</x:v>
      </x:c>
      <x:c r="K24" s="17" t="str">
        <x:v>Low</x:v>
      </x:c>
      <x:c r="L24" s="17" t="str">
        <x:v>Privacy / Legal</x:v>
      </x:c>
      <x:c r="M24" s="17" t="str">
        <x:v>Complete</x:v>
      </x:c>
    </x:row>
    <x:row r="25">
      <x:c r="A25" s="17" t="str">
        <x:v>VRM-21</x:v>
      </x:c>
      <x:c r="B25" s="17" t="str">
        <x:v>Privacy</x:v>
      </x:c>
      <x:c r="C25" s="17" t="str">
        <x:v>Are retention periods and secure deletion requirements defined and verifiable?</x:v>
      </x:c>
      <x:c r="D25" s="17" t="n">
        <x:v>5</x:v>
      </x:c>
      <x:c r="E25" s="17" t="str">
        <x:v>No</x:v>
      </x:c>
      <x:c r="F25" s="17" t="str">
        <x:v>None</x:v>
      </x:c>
      <x:c r="G25" s="17" t="n">
        <x:v>0</x:v>
      </x:c>
      <x:c r="H25" s="17" t="n">
        <x:v>0</x:v>
      </x:c>
      <x:c r="I25" s="17" t="n">
        <x:v>5</x:v>
      </x:c>
      <x:c r="J25" s="23" t="n">
        <x:v>0</x:v>
      </x:c>
      <x:c r="K25" s="17" t="str">
        <x:v>High</x:v>
      </x:c>
      <x:c r="L25" s="17" t="str">
        <x:v>Privacy / Legal</x:v>
      </x:c>
      <x:c r="M25" s="17" t="str">
        <x:v>Open</x:v>
      </x:c>
    </x:row>
    <x:row r="26">
      <x:c r="A26" s="17" t="str">
        <x:v>VRM-22</x:v>
      </x:c>
      <x:c r="B26" s="17" t="str">
        <x:v>Privacy</x:v>
      </x:c>
      <x:c r="C26" s="17" t="str">
        <x:v>Can the vendor support access, correction, export, and deletion requests?</x:v>
      </x:c>
      <x:c r="D26" s="17" t="n">
        <x:v>4</x:v>
      </x:c>
      <x:c r="E26" s="17" t="str">
        <x:v>Partial</x:v>
      </x:c>
      <x:c r="F26" s="17" t="str">
        <x:v>Moderate</x:v>
      </x:c>
      <x:c r="G26" s="17" t="n">
        <x:v>0.5</x:v>
      </x:c>
      <x:c r="H26" s="17" t="n">
        <x:v>2</x:v>
      </x:c>
      <x:c r="I26" s="17" t="n">
        <x:v>4</x:v>
      </x:c>
      <x:c r="J26" s="23" t="n">
        <x:v>0.5</x:v>
      </x:c>
      <x:c r="K26" s="17" t="str">
        <x:v>Moderate</x:v>
      </x:c>
      <x:c r="L26" s="17" t="str">
        <x:v>Privacy / Legal</x:v>
      </x:c>
      <x:c r="M26" s="17" t="str">
        <x:v>In Progress</x:v>
      </x:c>
    </x:row>
    <x:row r="27">
      <x:c r="A27" s="17" t="str">
        <x:v>VRM-23</x:v>
      </x:c>
      <x:c r="B27" s="17" t="str">
        <x:v>Third Parties</x:v>
      </x:c>
      <x:c r="C27" s="17" t="str">
        <x:v>Does the vendor maintain and disclose subprocessors that may access Trainory data?</x:v>
      </x:c>
      <x:c r="D27" s="17" t="n">
        <x:v>4</x:v>
      </x:c>
      <x:c r="E27" s="17" t="str">
        <x:v>Yes</x:v>
      </x:c>
      <x:c r="F27" s="17" t="str">
        <x:v>Moderate</x:v>
      </x:c>
      <x:c r="G27" s="17" t="n">
        <x:v>1</x:v>
      </x:c>
      <x:c r="H27" s="17" t="n">
        <x:v>4</x:v>
      </x:c>
      <x:c r="I27" s="17" t="n">
        <x:v>4</x:v>
      </x:c>
      <x:c r="J27" s="23" t="n">
        <x:v>1</x:v>
      </x:c>
      <x:c r="K27" s="17" t="str">
        <x:v>Low</x:v>
      </x:c>
      <x:c r="L27" s="17" t="str">
        <x:v>Vendor Management</x:v>
      </x:c>
      <x:c r="M27" s="17" t="str">
        <x:v>Complete</x:v>
      </x:c>
    </x:row>
    <x:row r="28">
      <x:c r="A28" s="17" t="str">
        <x:v>VRM-24</x:v>
      </x:c>
      <x:c r="B28" s="17" t="str">
        <x:v>Third Parties</x:v>
      </x:c>
      <x:c r="C28" s="17" t="str">
        <x:v>Are subprocessors subject to security, privacy, and incident-notification obligations?</x:v>
      </x:c>
      <x:c r="D28" s="17" t="n">
        <x:v>4</x:v>
      </x:c>
      <x:c r="E28" s="17" t="str">
        <x:v>Partial</x:v>
      </x:c>
      <x:c r="F28" s="17" t="str">
        <x:v>Weak</x:v>
      </x:c>
      <x:c r="G28" s="17" t="n">
        <x:v>0.5</x:v>
      </x:c>
      <x:c r="H28" s="17" t="n">
        <x:v>2</x:v>
      </x:c>
      <x:c r="I28" s="17" t="n">
        <x:v>4</x:v>
      </x:c>
      <x:c r="J28" s="23" t="n">
        <x:v>0.5</x:v>
      </x:c>
      <x:c r="K28" s="17" t="str">
        <x:v>Moderate</x:v>
      </x:c>
      <x:c r="L28" s="17" t="str">
        <x:v>Privacy / Legal</x:v>
      </x:c>
      <x:c r="M28" s="17" t="str">
        <x:v>Open</x:v>
      </x:c>
    </x:row>
    <x:row r="29">
      <x:c r="A29" s="18" t="str">
        <x:v>VRM-25</x:v>
      </x:c>
      <x:c r="B29" s="18" t="str">
        <x:v>Third Parties</x:v>
      </x:c>
      <x:c r="C29" s="18" t="str">
        <x:v>Does the agreement permit assurance review, evidence requests, and termination for material security failure?</x:v>
      </x:c>
      <x:c r="D29" s="18" t="n">
        <x:v>5</x:v>
      </x:c>
      <x:c r="E29" s="18" t="str">
        <x:v>Partial</x:v>
      </x:c>
      <x:c r="F29" s="18" t="str">
        <x:v>Moderate</x:v>
      </x:c>
      <x:c r="G29" s="18" t="n">
        <x:v>0.5</x:v>
      </x:c>
      <x:c r="H29" s="18" t="n">
        <x:v>2.5</x:v>
      </x:c>
      <x:c r="I29" s="18" t="n">
        <x:v>5</x:v>
      </x:c>
      <x:c r="J29" s="24" t="n">
        <x:v>0.5</x:v>
      </x:c>
      <x:c r="K29" s="18" t="str">
        <x:v>High</x:v>
      </x:c>
      <x:c r="L29" s="18" t="str">
        <x:v>Privacy / Legal</x:v>
      </x:c>
      <x:c r="M29" s="18" t="str">
        <x:v>Open</x:v>
      </x:c>
    </x:row>
  </x:sheetData>
  <x:mergeCells>
    <x:mergeCell ref="A1:M1"/>
    <x:mergeCell ref="A2:M2"/>
  </x:mergeCells>
  <x:conditionalFormatting sqref="K5:K29">
    <x:cfRule type="containsText" dxfId="24" priority="1" operator="containsText" text="Critical"/>
    <x:cfRule type="containsText" dxfId="25" priority="2" operator="containsText" text="High"/>
    <x:cfRule type="containsText" dxfId="26" priority="3" operator="containsText" text="Moderate"/>
    <x:cfRule type="containsText" dxfId="27" priority="4" operator="containsText" text="Implemented"/>
    <x:cfRule type="containsText" dxfId="28" priority="5" operator="containsText" text="Retain"/>
    <x:cfRule type="containsText" dxfId="29" priority="6" operator="containsText" text="Yes"/>
  </x:conditionalFormatting>
  <x:conditionalFormatting sqref="M5:M29">
    <x:cfRule type="containsText" dxfId="30" priority="7" operator="containsText" text="Critical"/>
    <x:cfRule type="containsText" dxfId="31" priority="8" operator="containsText" text="High"/>
    <x:cfRule type="containsText" dxfId="32" priority="9" operator="containsText" text="Moderate"/>
    <x:cfRule type="containsText" dxfId="33" priority="10" operator="containsText" text="Implemented"/>
    <x:cfRule type="containsText" dxfId="34" priority="11" operator="containsText" text="Retain"/>
    <x:cfRule type="containsText" dxfId="35" priority="12" operator="containsText" text="Yes"/>
  </x:conditionalFormatting>
  <x:pageMargins left="0.7" right="0.7" top="0.75" bottom="0.75" header="0.3" footer="0.3"/>
  <x:tableParts count="1">
    <x:tablePart xmlns:r="http://schemas.openxmlformats.org/officeDocument/2006/relationships" r:id="R5d7edf3cc5544650"/>
  </x:tableParts>
</x:worksheet>
</file>

<file path=xl/worksheets/sheet6.xml><?xml version="1.0" encoding="utf-8"?>
<x:worksheet xmlns:x="http://schemas.openxmlformats.org/spreadsheetml/2006/main">
  <x:sheetViews>
    <x:sheetView showGridLines="0" workbookViewId="0"/>
  </x:sheetViews>
  <x:sheetFormatPr defaultRowHeight="15"/>
  <x:cols>
    <x:col min="1" max="1" width="13" hidden="0" customWidth="1"/>
    <x:col min="2" max="2" width="23" hidden="0" customWidth="1"/>
    <x:col min="3" max="3" width="18" hidden="0" customWidth="1"/>
    <x:col min="4" max="4" width="18" hidden="0" customWidth="1"/>
    <x:col min="5" max="5" width="18" hidden="0" customWidth="1"/>
    <x:col min="6" max="6" width="22" hidden="0" customWidth="1"/>
    <x:col min="7" max="7" width="17" hidden="0" customWidth="1"/>
    <x:col min="8" max="8" width="17" hidden="0" customWidth="1"/>
    <x:col min="9" max="9" width="17" hidden="0" customWidth="1"/>
    <x:col min="10" max="10" width="17" hidden="0" customWidth="1"/>
    <x:col min="11" max="11" width="17" hidden="0" customWidth="1"/>
    <x:col min="12" max="12" width="17" hidden="0" customWidth="1"/>
    <x:col min="13" max="13" width="17" hidden="0" customWidth="1"/>
    <x:col min="14" max="14" width="17" hidden="0" customWidth="1"/>
    <x:col min="15" max="15" width="17" hidden="0" customWidth="1"/>
  </x:cols>
  <x:sheetData>
    <x:row r="1" ht="32" customHeight="1">
      <x:c r="A1" s="3" t="str">
        <x:v>Trainory | Access Data</x:v>
      </x:c>
      <x:c r="B1" s="3" t="str">
        <x:v>Trainory | Access Data</x:v>
      </x:c>
      <x:c r="C1" s="3" t="str">
        <x:v>Trainory | Access Data</x:v>
      </x:c>
      <x:c r="D1" s="3" t="str">
        <x:v>Trainory | Access Data</x:v>
      </x:c>
      <x:c r="E1" s="3" t="str">
        <x:v>Trainory | Access Data</x:v>
      </x:c>
      <x:c r="F1" s="3" t="str">
        <x:v>Trainory | Access Data</x:v>
      </x:c>
      <x:c r="G1" s="3" t="str">
        <x:v>Trainory | Access Data</x:v>
      </x:c>
      <x:c r="H1" s="3" t="str">
        <x:v>Trainory | Access Data</x:v>
      </x:c>
      <x:c r="I1" s="3" t="str">
        <x:v>Trainory | Access Data</x:v>
      </x:c>
      <x:c r="J1" s="3" t="str">
        <x:v>Trainory | Access Data</x:v>
      </x:c>
      <x:c r="K1" s="3" t="str">
        <x:v>Trainory | Access Data</x:v>
      </x:c>
      <x:c r="L1" s="3" t="str">
        <x:v>Trainory | Access Data</x:v>
      </x:c>
      <x:c r="M1" s="3" t="str">
        <x:v>Trainory | Access Data</x:v>
      </x:c>
      <x:c r="N1" s="3" t="str">
        <x:v>Trainory | Access Data</x:v>
      </x:c>
      <x:c r="O1" s="3" t="str">
        <x:v>Trainory | Access Data</x:v>
      </x:c>
    </x:row>
    <x:row r="2" ht="24" customHeight="1">
      <x:c r="A2" s="6" t="str">
        <x:v>Decision-level analytics from the approved Step 8 quarterly access review</x:v>
      </x:c>
      <x:c r="B2" s="6" t="str">
        <x:v>Decision-level analytics from the approved Step 8 quarterly access review</x:v>
      </x:c>
      <x:c r="C2" s="6" t="str">
        <x:v>Decision-level analytics from the approved Step 8 quarterly access review</x:v>
      </x:c>
      <x:c r="D2" s="6" t="str">
        <x:v>Decision-level analytics from the approved Step 8 quarterly access review</x:v>
      </x:c>
      <x:c r="E2" s="6" t="str">
        <x:v>Decision-level analytics from the approved Step 8 quarterly access review</x:v>
      </x:c>
      <x:c r="F2" s="6" t="str">
        <x:v>Decision-level analytics from the approved Step 8 quarterly access review</x:v>
      </x:c>
      <x:c r="G2" s="6" t="str">
        <x:v>Decision-level analytics from the approved Step 8 quarterly access review</x:v>
      </x:c>
      <x:c r="H2" s="6" t="str">
        <x:v>Decision-level analytics from the approved Step 8 quarterly access review</x:v>
      </x:c>
      <x:c r="I2" s="6" t="str">
        <x:v>Decision-level analytics from the approved Step 8 quarterly access review</x:v>
      </x:c>
      <x:c r="J2" s="6" t="str">
        <x:v>Decision-level analytics from the approved Step 8 quarterly access review</x:v>
      </x:c>
      <x:c r="K2" s="6" t="str">
        <x:v>Decision-level analytics from the approved Step 8 quarterly access review</x:v>
      </x:c>
      <x:c r="L2" s="6" t="str">
        <x:v>Decision-level analytics from the approved Step 8 quarterly access review</x:v>
      </x:c>
      <x:c r="M2" s="6" t="str">
        <x:v>Decision-level analytics from the approved Step 8 quarterly access review</x:v>
      </x:c>
      <x:c r="N2" s="6" t="str">
        <x:v>Decision-level analytics from the approved Step 8 quarterly access review</x:v>
      </x:c>
      <x:c r="O2" s="6" t="str">
        <x:v>Decision-level analytics from the approved Step 8 quarterly access review</x:v>
      </x:c>
    </x:row>
    <x:row r="4" ht="34" customHeight="1">
      <x:c r="A4" s="12" t="str">
        <x:v>Record ID</x:v>
      </x:c>
      <x:c r="B4" s="12" t="str">
        <x:v>Name / Account</x:v>
      </x:c>
      <x:c r="C4" s="12" t="str">
        <x:v>Account Type</x:v>
      </x:c>
      <x:c r="D4" s="12" t="str">
        <x:v>Department</x:v>
      </x:c>
      <x:c r="E4" s="12" t="str">
        <x:v>Employment Status</x:v>
      </x:c>
      <x:c r="F4" s="12" t="str">
        <x:v>System</x:v>
      </x:c>
      <x:c r="G4" s="12" t="str">
        <x:v>Privilege Level</x:v>
      </x:c>
      <x:c r="H4" s="12" t="str">
        <x:v>Data Access</x:v>
      </x:c>
      <x:c r="I4" s="12" t="str">
        <x:v>MFA</x:v>
      </x:c>
      <x:c r="J4" s="12" t="str">
        <x:v>Current Need?</x:v>
      </x:c>
      <x:c r="K4" s="12" t="str">
        <x:v>Reviewer Decision</x:v>
      </x:c>
      <x:c r="L4" s="12" t="str">
        <x:v>Exception?</x:v>
      </x:c>
      <x:c r="M4" s="12" t="str">
        <x:v>Action Owner</x:v>
      </x:c>
      <x:c r="N4" s="12" t="str">
        <x:v>Due Date</x:v>
      </x:c>
      <x:c r="O4" s="12" t="str">
        <x:v>Remediation Status</x:v>
      </x:c>
    </x:row>
    <x:row r="5">
      <x:c r="A5" s="17" t="str">
        <x:v>AR-001</x:v>
      </x:c>
      <x:c r="B5" s="17" t="str">
        <x:v>Maya Chen</x:v>
      </x:c>
      <x:c r="C5" s="17" t="str">
        <x:v>Employee</x:v>
      </x:c>
      <x:c r="D5" s="17" t="str">
        <x:v>Product</x:v>
      </x:c>
      <x:c r="E5" s="17" t="str">
        <x:v>Active</x:v>
      </x:c>
      <x:c r="F5" s="17" t="str">
        <x:v>Microsoft 365</x:v>
      </x:c>
      <x:c r="G5" s="17" t="str">
        <x:v>Standard</x:v>
      </x:c>
      <x:c r="H5" s="17" t="str">
        <x:v>Internal</x:v>
      </x:c>
      <x:c r="I5" s="17" t="str">
        <x:v>Yes</x:v>
      </x:c>
      <x:c r="J5" s="17" t="str">
        <x:v>Yes</x:v>
      </x:c>
      <x:c r="K5" s="17" t="str">
        <x:v>Retain</x:v>
      </x:c>
      <x:c r="L5" s="17" t="str">
        <x:v>No</x:v>
      </x:c>
      <x:c r="M5" s="17" t="str">
        <x:v>Product Management</x:v>
      </x:c>
      <x:c r="N5" s="21"/>
      <x:c r="O5" s="17" t="str">
        <x:v>Not Required</x:v>
      </x:c>
    </x:row>
    <x:row r="6">
      <x:c r="A6" s="17" t="str">
        <x:v>AR-002</x:v>
      </x:c>
      <x:c r="B6" s="17" t="str">
        <x:v>Maya Chen</x:v>
      </x:c>
      <x:c r="C6" s="17" t="str">
        <x:v>Employee</x:v>
      </x:c>
      <x:c r="D6" s="17" t="str">
        <x:v>Product</x:v>
      </x:c>
      <x:c r="E6" s="17" t="str">
        <x:v>Active</x:v>
      </x:c>
      <x:c r="F6" s="17" t="str">
        <x:v>Jira / Product Workspace</x:v>
      </x:c>
      <x:c r="G6" s="17" t="str">
        <x:v>Elevated</x:v>
      </x:c>
      <x:c r="H6" s="17" t="str">
        <x:v>Internal</x:v>
      </x:c>
      <x:c r="I6" s="17" t="str">
        <x:v>Yes</x:v>
      </x:c>
      <x:c r="J6" s="17" t="str">
        <x:v>Yes</x:v>
      </x:c>
      <x:c r="K6" s="17" t="str">
        <x:v>Retain</x:v>
      </x:c>
      <x:c r="L6" s="17" t="str">
        <x:v>No</x:v>
      </x:c>
      <x:c r="M6" s="17" t="str">
        <x:v>Product Management</x:v>
      </x:c>
      <x:c r="N6" s="21"/>
      <x:c r="O6" s="17" t="str">
        <x:v>Not Required</x:v>
      </x:c>
    </x:row>
    <x:row r="7">
      <x:c r="A7" s="17" t="str">
        <x:v>AR-003</x:v>
      </x:c>
      <x:c r="B7" s="17" t="str">
        <x:v>Liam Brooks</x:v>
      </x:c>
      <x:c r="C7" s="17" t="str">
        <x:v>Employee</x:v>
      </x:c>
      <x:c r="D7" s="17" t="str">
        <x:v>Software Development</x:v>
      </x:c>
      <x:c r="E7" s="17" t="str">
        <x:v>Active</x:v>
      </x:c>
      <x:c r="F7" s="17" t="str">
        <x:v>GitHub</x:v>
      </x:c>
      <x:c r="G7" s="17" t="str">
        <x:v>Elevated</x:v>
      </x:c>
      <x:c r="H7" s="17" t="str">
        <x:v>Confidential</x:v>
      </x:c>
      <x:c r="I7" s="17" t="str">
        <x:v>Yes</x:v>
      </x:c>
      <x:c r="J7" s="17" t="str">
        <x:v>Yes</x:v>
      </x:c>
      <x:c r="K7" s="17" t="str">
        <x:v>Retain</x:v>
      </x:c>
      <x:c r="L7" s="17" t="str">
        <x:v>No</x:v>
      </x:c>
      <x:c r="M7" s="17" t="str">
        <x:v>Software Development</x:v>
      </x:c>
      <x:c r="N7" s="21"/>
      <x:c r="O7" s="17" t="str">
        <x:v>Not Required</x:v>
      </x:c>
    </x:row>
    <x:row r="8">
      <x:c r="A8" s="17" t="str">
        <x:v>AR-004</x:v>
      </x:c>
      <x:c r="B8" s="17" t="str">
        <x:v>Liam Brooks</x:v>
      </x:c>
      <x:c r="C8" s="17" t="str">
        <x:v>Employee</x:v>
      </x:c>
      <x:c r="D8" s="17" t="str">
        <x:v>Software Development</x:v>
      </x:c>
      <x:c r="E8" s="17" t="str">
        <x:v>Active</x:v>
      </x:c>
      <x:c r="F8" s="17" t="str">
        <x:v>AWS Production</x:v>
      </x:c>
      <x:c r="G8" s="17" t="str">
        <x:v>Privileged</x:v>
      </x:c>
      <x:c r="H8" s="17" t="str">
        <x:v>Restricted</x:v>
      </x:c>
      <x:c r="I8" s="17" t="str">
        <x:v>Yes</x:v>
      </x:c>
      <x:c r="J8" s="17" t="str">
        <x:v>Partial</x:v>
      </x:c>
      <x:c r="K8" s="17" t="str">
        <x:v>Modify</x:v>
      </x:c>
      <x:c r="L8" s="17" t="str">
        <x:v>Yes</x:v>
      </x:c>
      <x:c r="M8" s="17" t="str">
        <x:v>Cloud Engineering</x:v>
      </x:c>
      <x:c r="N8" s="21" t="n">
        <x:v>46303</x:v>
      </x:c>
      <x:c r="O8" s="17" t="str">
        <x:v>Open</x:v>
      </x:c>
    </x:row>
    <x:row r="9">
      <x:c r="A9" s="17" t="str">
        <x:v>AR-005</x:v>
      </x:c>
      <x:c r="B9" s="17" t="str">
        <x:v>Liam Brooks</x:v>
      </x:c>
      <x:c r="C9" s="17" t="str">
        <x:v>Employee</x:v>
      </x:c>
      <x:c r="D9" s="17" t="str">
        <x:v>Software Development</x:v>
      </x:c>
      <x:c r="E9" s="17" t="str">
        <x:v>Active</x:v>
      </x:c>
      <x:c r="F9" s="17" t="str">
        <x:v>Customer Database</x:v>
      </x:c>
      <x:c r="G9" s="17" t="str">
        <x:v>Elevated</x:v>
      </x:c>
      <x:c r="H9" s="17" t="str">
        <x:v>Restricted</x:v>
      </x:c>
      <x:c r="I9" s="17" t="str">
        <x:v>Yes</x:v>
      </x:c>
      <x:c r="J9" s="17" t="str">
        <x:v>No</x:v>
      </x:c>
      <x:c r="K9" s="17" t="str">
        <x:v>Remove</x:v>
      </x:c>
      <x:c r="L9" s="17" t="str">
        <x:v>Yes</x:v>
      </x:c>
      <x:c r="M9" s="17" t="str">
        <x:v>Database Owner</x:v>
      </x:c>
      <x:c r="N9" s="21" t="n">
        <x:v>46298</x:v>
      </x:c>
      <x:c r="O9" s="17" t="str">
        <x:v>Open</x:v>
      </x:c>
    </x:row>
    <x:row r="10">
      <x:c r="A10" s="17" t="str">
        <x:v>AR-006</x:v>
      </x:c>
      <x:c r="B10" s="17" t="str">
        <x:v>Aisha Patel</x:v>
      </x:c>
      <x:c r="C10" s="17" t="str">
        <x:v>Employee</x:v>
      </x:c>
      <x:c r="D10" s="17" t="str">
        <x:v>Cybersecurity</x:v>
      </x:c>
      <x:c r="E10" s="17" t="str">
        <x:v>Active</x:v>
      </x:c>
      <x:c r="F10" s="17" t="str">
        <x:v>Microsoft 365</x:v>
      </x:c>
      <x:c r="G10" s="17" t="str">
        <x:v>Standard</x:v>
      </x:c>
      <x:c r="H10" s="17" t="str">
        <x:v>Internal</x:v>
      </x:c>
      <x:c r="I10" s="17" t="str">
        <x:v>Yes</x:v>
      </x:c>
      <x:c r="J10" s="17" t="str">
        <x:v>Yes</x:v>
      </x:c>
      <x:c r="K10" s="17" t="str">
        <x:v>Retain</x:v>
      </x:c>
      <x:c r="L10" s="17" t="str">
        <x:v>No</x:v>
      </x:c>
      <x:c r="M10" s="17" t="str">
        <x:v>Cybersecurity / IT</x:v>
      </x:c>
      <x:c r="N10" s="21"/>
      <x:c r="O10" s="17" t="str">
        <x:v>Not Required</x:v>
      </x:c>
    </x:row>
    <x:row r="11">
      <x:c r="A11" s="17" t="str">
        <x:v>AR-007</x:v>
      </x:c>
      <x:c r="B11" s="17" t="str">
        <x:v>Aisha Patel</x:v>
      </x:c>
      <x:c r="C11" s="17" t="str">
        <x:v>Employee</x:v>
      </x:c>
      <x:c r="D11" s="17" t="str">
        <x:v>Cybersecurity</x:v>
      </x:c>
      <x:c r="E11" s="17" t="str">
        <x:v>Active</x:v>
      </x:c>
      <x:c r="F11" s="17" t="str">
        <x:v>Security Monitoring</x:v>
      </x:c>
      <x:c r="G11" s="17" t="str">
        <x:v>Privileged</x:v>
      </x:c>
      <x:c r="H11" s="17" t="str">
        <x:v>Confidential</x:v>
      </x:c>
      <x:c r="I11" s="17" t="str">
        <x:v>Yes</x:v>
      </x:c>
      <x:c r="J11" s="17" t="str">
        <x:v>Yes</x:v>
      </x:c>
      <x:c r="K11" s="17" t="str">
        <x:v>Retain</x:v>
      </x:c>
      <x:c r="L11" s="17" t="str">
        <x:v>No</x:v>
      </x:c>
      <x:c r="M11" s="17" t="str">
        <x:v>Cybersecurity / IT</x:v>
      </x:c>
      <x:c r="N11" s="21"/>
      <x:c r="O11" s="17" t="str">
        <x:v>Not Required</x:v>
      </x:c>
    </x:row>
    <x:row r="12">
      <x:c r="A12" s="17" t="str">
        <x:v>AR-008</x:v>
      </x:c>
      <x:c r="B12" s="17" t="str">
        <x:v>Aisha Patel</x:v>
      </x:c>
      <x:c r="C12" s="17" t="str">
        <x:v>Employee</x:v>
      </x:c>
      <x:c r="D12" s="17" t="str">
        <x:v>Cybersecurity</x:v>
      </x:c>
      <x:c r="E12" s="17" t="str">
        <x:v>Active</x:v>
      </x:c>
      <x:c r="F12" s="17" t="str">
        <x:v>AWS Production</x:v>
      </x:c>
      <x:c r="G12" s="17" t="str">
        <x:v>Elevated</x:v>
      </x:c>
      <x:c r="H12" s="17" t="str">
        <x:v>Restricted</x:v>
      </x:c>
      <x:c r="I12" s="17" t="str">
        <x:v>Yes</x:v>
      </x:c>
      <x:c r="J12" s="17" t="str">
        <x:v>Yes</x:v>
      </x:c>
      <x:c r="K12" s="17" t="str">
        <x:v>Retain</x:v>
      </x:c>
      <x:c r="L12" s="17" t="str">
        <x:v>No</x:v>
      </x:c>
      <x:c r="M12" s="17" t="str">
        <x:v>Cybersecurity / IT</x:v>
      </x:c>
      <x:c r="N12" s="21"/>
      <x:c r="O12" s="17" t="str">
        <x:v>Not Required</x:v>
      </x:c>
    </x:row>
    <x:row r="13">
      <x:c r="A13" s="17" t="str">
        <x:v>AR-009</x:v>
      </x:c>
      <x:c r="B13" s="17" t="str">
        <x:v>Noah Williams</x:v>
      </x:c>
      <x:c r="C13" s="17" t="str">
        <x:v>Employee</x:v>
      </x:c>
      <x:c r="D13" s="17" t="str">
        <x:v>Customer Support</x:v>
      </x:c>
      <x:c r="E13" s="17" t="str">
        <x:v>Active</x:v>
      </x:c>
      <x:c r="F13" s="17" t="str">
        <x:v>Support Platform</x:v>
      </x:c>
      <x:c r="G13" s="17" t="str">
        <x:v>Privileged</x:v>
      </x:c>
      <x:c r="H13" s="17" t="str">
        <x:v>Restricted</x:v>
      </x:c>
      <x:c r="I13" s="17" t="str">
        <x:v>Yes</x:v>
      </x:c>
      <x:c r="J13" s="17" t="str">
        <x:v>Partial</x:v>
      </x:c>
      <x:c r="K13" s="17" t="str">
        <x:v>Modify</x:v>
      </x:c>
      <x:c r="L13" s="17" t="str">
        <x:v>Yes</x:v>
      </x:c>
      <x:c r="M13" s="17" t="str">
        <x:v>Support System Owner</x:v>
      </x:c>
      <x:c r="N13" s="21" t="n">
        <x:v>46300</x:v>
      </x:c>
      <x:c r="O13" s="17" t="str">
        <x:v>In Progress</x:v>
      </x:c>
    </x:row>
    <x:row r="14">
      <x:c r="A14" s="17" t="str">
        <x:v>AR-010</x:v>
      </x:c>
      <x:c r="B14" s="17" t="str">
        <x:v>Noah Williams</x:v>
      </x:c>
      <x:c r="C14" s="17" t="str">
        <x:v>Employee</x:v>
      </x:c>
      <x:c r="D14" s="17" t="str">
        <x:v>Customer Support</x:v>
      </x:c>
      <x:c r="E14" s="17" t="str">
        <x:v>Active</x:v>
      </x:c>
      <x:c r="F14" s="17" t="str">
        <x:v>Customer Database</x:v>
      </x:c>
      <x:c r="G14" s="17" t="str">
        <x:v>Elevated</x:v>
      </x:c>
      <x:c r="H14" s="17" t="str">
        <x:v>Restricted</x:v>
      </x:c>
      <x:c r="I14" s="17" t="str">
        <x:v>Yes</x:v>
      </x:c>
      <x:c r="J14" s="17" t="str">
        <x:v>No</x:v>
      </x:c>
      <x:c r="K14" s="17" t="str">
        <x:v>Remove</x:v>
      </x:c>
      <x:c r="L14" s="17" t="str">
        <x:v>Yes</x:v>
      </x:c>
      <x:c r="M14" s="17" t="str">
        <x:v>Database Owner</x:v>
      </x:c>
      <x:c r="N14" s="21" t="n">
        <x:v>46298</x:v>
      </x:c>
      <x:c r="O14" s="17" t="str">
        <x:v>Open</x:v>
      </x:c>
    </x:row>
    <x:row r="15">
      <x:c r="A15" s="17" t="str">
        <x:v>AR-011</x:v>
      </x:c>
      <x:c r="B15" s="17" t="str">
        <x:v>Sofia Ramirez</x:v>
      </x:c>
      <x:c r="C15" s="17" t="str">
        <x:v>Employee</x:v>
      </x:c>
      <x:c r="D15" s="17" t="str">
        <x:v>Human Resources</x:v>
      </x:c>
      <x:c r="E15" s="17" t="str">
        <x:v>Active</x:v>
      </x:c>
      <x:c r="F15" s="17" t="str">
        <x:v>Microsoft 365</x:v>
      </x:c>
      <x:c r="G15" s="17" t="str">
        <x:v>Standard</x:v>
      </x:c>
      <x:c r="H15" s="17" t="str">
        <x:v>Confidential</x:v>
      </x:c>
      <x:c r="I15" s="17" t="str">
        <x:v>Yes</x:v>
      </x:c>
      <x:c r="J15" s="17" t="str">
        <x:v>Yes</x:v>
      </x:c>
      <x:c r="K15" s="17" t="str">
        <x:v>Retain</x:v>
      </x:c>
      <x:c r="L15" s="17" t="str">
        <x:v>No</x:v>
      </x:c>
      <x:c r="M15" s="17" t="str">
        <x:v>Human Resources</x:v>
      </x:c>
      <x:c r="N15" s="21"/>
      <x:c r="O15" s="17" t="str">
        <x:v>Not Required</x:v>
      </x:c>
    </x:row>
    <x:row r="16">
      <x:c r="A16" s="17" t="str">
        <x:v>AR-012</x:v>
      </x:c>
      <x:c r="B16" s="17" t="str">
        <x:v>Ethan Clark</x:v>
      </x:c>
      <x:c r="C16" s="17" t="str">
        <x:v>Former Contractor</x:v>
      </x:c>
      <x:c r="D16" s="17" t="str">
        <x:v>Software Development</x:v>
      </x:c>
      <x:c r="E16" s="17" t="str">
        <x:v>Terminated</x:v>
      </x:c>
      <x:c r="F16" s="17" t="str">
        <x:v>AWS Production</x:v>
      </x:c>
      <x:c r="G16" s="17" t="str">
        <x:v>Elevated</x:v>
      </x:c>
      <x:c r="H16" s="17" t="str">
        <x:v>Restricted</x:v>
      </x:c>
      <x:c r="I16" s="17" t="str">
        <x:v>Yes</x:v>
      </x:c>
      <x:c r="J16" s="17" t="str">
        <x:v>No</x:v>
      </x:c>
      <x:c r="K16" s="17" t="str">
        <x:v>Remove</x:v>
      </x:c>
      <x:c r="L16" s="17" t="str">
        <x:v>Yes</x:v>
      </x:c>
      <x:c r="M16" s="17" t="str">
        <x:v>Cybersecurity / IT</x:v>
      </x:c>
      <x:c r="N16" s="21" t="n">
        <x:v>46296</x:v>
      </x:c>
      <x:c r="O16" s="17" t="str">
        <x:v>Open</x:v>
      </x:c>
    </x:row>
    <x:row r="17">
      <x:c r="A17" s="17" t="str">
        <x:v>AR-013</x:v>
      </x:c>
      <x:c r="B17" s="17" t="str">
        <x:v>Olivia Kim</x:v>
      </x:c>
      <x:c r="C17" s="17" t="str">
        <x:v>Employee</x:v>
      </x:c>
      <x:c r="D17" s="17" t="str">
        <x:v>Data Analytics</x:v>
      </x:c>
      <x:c r="E17" s="17" t="str">
        <x:v>Active</x:v>
      </x:c>
      <x:c r="F17" s="17" t="str">
        <x:v>Analytics Workspace</x:v>
      </x:c>
      <x:c r="G17" s="17" t="str">
        <x:v>Elevated</x:v>
      </x:c>
      <x:c r="H17" s="17" t="str">
        <x:v>Restricted</x:v>
      </x:c>
      <x:c r="I17" s="17" t="str">
        <x:v>Yes</x:v>
      </x:c>
      <x:c r="J17" s="17" t="str">
        <x:v>Yes</x:v>
      </x:c>
      <x:c r="K17" s="17" t="str">
        <x:v>Retain</x:v>
      </x:c>
      <x:c r="L17" s="17" t="str">
        <x:v>No</x:v>
      </x:c>
      <x:c r="M17" s="17" t="str">
        <x:v>Data Owner</x:v>
      </x:c>
      <x:c r="N17" s="21"/>
      <x:c r="O17" s="17" t="str">
        <x:v>Not Required</x:v>
      </x:c>
    </x:row>
    <x:row r="18">
      <x:c r="A18" s="17" t="str">
        <x:v>AR-014</x:v>
      </x:c>
      <x:c r="B18" s="17" t="str">
        <x:v>Olivia Kim</x:v>
      </x:c>
      <x:c r="C18" s="17" t="str">
        <x:v>Employee</x:v>
      </x:c>
      <x:c r="D18" s="17" t="str">
        <x:v>Data Analytics</x:v>
      </x:c>
      <x:c r="E18" s="17" t="str">
        <x:v>Active</x:v>
      </x:c>
      <x:c r="F18" s="17" t="str">
        <x:v>Customer Database</x:v>
      </x:c>
      <x:c r="G18" s="17" t="str">
        <x:v>Elevated</x:v>
      </x:c>
      <x:c r="H18" s="17" t="str">
        <x:v>Restricted</x:v>
      </x:c>
      <x:c r="I18" s="17" t="str">
        <x:v>Yes</x:v>
      </x:c>
      <x:c r="J18" s="17" t="str">
        <x:v>Partial</x:v>
      </x:c>
      <x:c r="K18" s="17" t="str">
        <x:v>Escalate</x:v>
      </x:c>
      <x:c r="L18" s="17" t="str">
        <x:v>Yes</x:v>
      </x:c>
      <x:c r="M18" s="17" t="str">
        <x:v>Data Owner</x:v>
      </x:c>
      <x:c r="N18" s="21" t="n">
        <x:v>46310</x:v>
      </x:c>
      <x:c r="O18" s="17" t="str">
        <x:v>Open</x:v>
      </x:c>
    </x:row>
    <x:row r="19">
      <x:c r="A19" s="17" t="str">
        <x:v>AR-015</x:v>
      </x:c>
      <x:c r="B19" s="17" t="str">
        <x:v>Marcus Reed</x:v>
      </x:c>
      <x:c r="C19" s="17" t="str">
        <x:v>Employee</x:v>
      </x:c>
      <x:c r="D19" s="17" t="str">
        <x:v>Finance</x:v>
      </x:c>
      <x:c r="E19" s="17" t="str">
        <x:v>Active</x:v>
      </x:c>
      <x:c r="F19" s="17" t="str">
        <x:v>Payment Portal</x:v>
      </x:c>
      <x:c r="G19" s="17" t="str">
        <x:v>Privileged</x:v>
      </x:c>
      <x:c r="H19" s="17" t="str">
        <x:v>Confidential</x:v>
      </x:c>
      <x:c r="I19" s="17" t="str">
        <x:v>Yes</x:v>
      </x:c>
      <x:c r="J19" s="17" t="str">
        <x:v>Partial</x:v>
      </x:c>
      <x:c r="K19" s="17" t="str">
        <x:v>Modify</x:v>
      </x:c>
      <x:c r="L19" s="17" t="str">
        <x:v>Yes</x:v>
      </x:c>
      <x:c r="M19" s="17" t="str">
        <x:v>Finance System Owner</x:v>
      </x:c>
      <x:c r="N19" s="21" t="n">
        <x:v>46305</x:v>
      </x:c>
      <x:c r="O19" s="17" t="str">
        <x:v>Open</x:v>
      </x:c>
    </x:row>
    <x:row r="20">
      <x:c r="A20" s="17" t="str">
        <x:v>AR-016</x:v>
      </x:c>
      <x:c r="B20" s="17" t="str">
        <x:v>Marcus Reed</x:v>
      </x:c>
      <x:c r="C20" s="17" t="str">
        <x:v>Employee</x:v>
      </x:c>
      <x:c r="D20" s="17" t="str">
        <x:v>Finance</x:v>
      </x:c>
      <x:c r="E20" s="17" t="str">
        <x:v>Active</x:v>
      </x:c>
      <x:c r="F20" s="17" t="str">
        <x:v>Microsoft 365</x:v>
      </x:c>
      <x:c r="G20" s="17" t="str">
        <x:v>Standard</x:v>
      </x:c>
      <x:c r="H20" s="17" t="str">
        <x:v>Internal</x:v>
      </x:c>
      <x:c r="I20" s="17" t="str">
        <x:v>Yes</x:v>
      </x:c>
      <x:c r="J20" s="17" t="str">
        <x:v>Yes</x:v>
      </x:c>
      <x:c r="K20" s="17" t="str">
        <x:v>Retain</x:v>
      </x:c>
      <x:c r="L20" s="17" t="str">
        <x:v>No</x:v>
      </x:c>
      <x:c r="M20" s="17" t="str">
        <x:v>Finance</x:v>
      </x:c>
      <x:c r="N20" s="21"/>
      <x:c r="O20" s="17" t="str">
        <x:v>Not Required</x:v>
      </x:c>
    </x:row>
    <x:row r="21">
      <x:c r="A21" s="17" t="str">
        <x:v>AR-017</x:v>
      </x:c>
      <x:c r="B21" s="17" t="str">
        <x:v>Ava Thompson</x:v>
      </x:c>
      <x:c r="C21" s="17" t="str">
        <x:v>Employee</x:v>
      </x:c>
      <x:c r="D21" s="17" t="str">
        <x:v>Product</x:v>
      </x:c>
      <x:c r="E21" s="17" t="str">
        <x:v>Active</x:v>
      </x:c>
      <x:c r="F21" s="17" t="str">
        <x:v>Jira / Product Workspace</x:v>
      </x:c>
      <x:c r="G21" s="17" t="str">
        <x:v>Standard</x:v>
      </x:c>
      <x:c r="H21" s="17" t="str">
        <x:v>Internal</x:v>
      </x:c>
      <x:c r="I21" s="17" t="str">
        <x:v>Yes</x:v>
      </x:c>
      <x:c r="J21" s="17" t="str">
        <x:v>Yes</x:v>
      </x:c>
      <x:c r="K21" s="17" t="str">
        <x:v>Retain</x:v>
      </x:c>
      <x:c r="L21" s="17" t="str">
        <x:v>No</x:v>
      </x:c>
      <x:c r="M21" s="17" t="str">
        <x:v>Product Management</x:v>
      </x:c>
      <x:c r="N21" s="21"/>
      <x:c r="O21" s="17" t="str">
        <x:v>Not Required</x:v>
      </x:c>
    </x:row>
    <x:row r="22">
      <x:c r="A22" s="17" t="str">
        <x:v>AR-018</x:v>
      </x:c>
      <x:c r="B22" s="17" t="str">
        <x:v>Ava Thompson</x:v>
      </x:c>
      <x:c r="C22" s="17" t="str">
        <x:v>Employee</x:v>
      </x:c>
      <x:c r="D22" s="17" t="str">
        <x:v>Product</x:v>
      </x:c>
      <x:c r="E22" s="17" t="str">
        <x:v>Active</x:v>
      </x:c>
      <x:c r="F22" s="17" t="str">
        <x:v>AWS Production</x:v>
      </x:c>
      <x:c r="G22" s="17" t="str">
        <x:v>Elevated</x:v>
      </x:c>
      <x:c r="H22" s="17" t="str">
        <x:v>Restricted</x:v>
      </x:c>
      <x:c r="I22" s="17" t="str">
        <x:v>Yes</x:v>
      </x:c>
      <x:c r="J22" s="17" t="str">
        <x:v>No</x:v>
      </x:c>
      <x:c r="K22" s="17" t="str">
        <x:v>Remove</x:v>
      </x:c>
      <x:c r="L22" s="17" t="str">
        <x:v>Yes</x:v>
      </x:c>
      <x:c r="M22" s="17" t="str">
        <x:v>Cloud Engineering</x:v>
      </x:c>
      <x:c r="N22" s="21" t="n">
        <x:v>46300</x:v>
      </x:c>
      <x:c r="O22" s="17" t="str">
        <x:v>Open</x:v>
      </x:c>
    </x:row>
    <x:row r="23">
      <x:c r="A23" s="17" t="str">
        <x:v>AR-019</x:v>
      </x:c>
      <x:c r="B23" s="17" t="str">
        <x:v>Owen Garcia</x:v>
      </x:c>
      <x:c r="C23" s="17" t="str">
        <x:v>Vendor Contractor</x:v>
      </x:c>
      <x:c r="D23" s="17" t="str">
        <x:v>Integration Partner</x:v>
      </x:c>
      <x:c r="E23" s="17" t="str">
        <x:v>Active</x:v>
      </x:c>
      <x:c r="F23" s="17" t="str">
        <x:v>GitHub</x:v>
      </x:c>
      <x:c r="G23" s="17" t="str">
        <x:v>Elevated</x:v>
      </x:c>
      <x:c r="H23" s="17" t="str">
        <x:v>Confidential</x:v>
      </x:c>
      <x:c r="I23" s="17" t="str">
        <x:v>Yes</x:v>
      </x:c>
      <x:c r="J23" s="17" t="str">
        <x:v>Yes</x:v>
      </x:c>
      <x:c r="K23" s="17" t="str">
        <x:v>Escalate</x:v>
      </x:c>
      <x:c r="L23" s="17" t="str">
        <x:v>Yes</x:v>
      </x:c>
      <x:c r="M23" s="17" t="str">
        <x:v>Product Management</x:v>
      </x:c>
      <x:c r="N23" s="21" t="n">
        <x:v>46300</x:v>
      </x:c>
      <x:c r="O23" s="17" t="str">
        <x:v>Open</x:v>
      </x:c>
    </x:row>
    <x:row r="24">
      <x:c r="A24" s="17" t="str">
        <x:v>AR-020</x:v>
      </x:c>
      <x:c r="B24" s="17" t="str">
        <x:v>Wearable API Service</x:v>
      </x:c>
      <x:c r="C24" s="17" t="str">
        <x:v>Service Account</x:v>
      </x:c>
      <x:c r="D24" s="17" t="str">
        <x:v>Software Development</x:v>
      </x:c>
      <x:c r="E24" s="17" t="str">
        <x:v>Active</x:v>
      </x:c>
      <x:c r="F24" s="17" t="str">
        <x:v>AWS Production</x:v>
      </x:c>
      <x:c r="G24" s="17" t="str">
        <x:v>Privileged</x:v>
      </x:c>
      <x:c r="H24" s="17" t="str">
        <x:v>Restricted</x:v>
      </x:c>
      <x:c r="I24" s="17" t="str">
        <x:v>N/A</x:v>
      </x:c>
      <x:c r="J24" s="17" t="str">
        <x:v>Yes</x:v>
      </x:c>
      <x:c r="K24" s="17" t="str">
        <x:v>Escalate</x:v>
      </x:c>
      <x:c r="L24" s="17" t="str">
        <x:v>Yes</x:v>
      </x:c>
      <x:c r="M24" s="17" t="str">
        <x:v>Software Development</x:v>
      </x:c>
      <x:c r="N24" s="21" t="n">
        <x:v>46303</x:v>
      </x:c>
      <x:c r="O24" s="17" t="str">
        <x:v>Open</x:v>
      </x:c>
    </x:row>
    <x:row r="25">
      <x:c r="A25" s="17" t="str">
        <x:v>AR-021</x:v>
      </x:c>
      <x:c r="B25" s="17" t="str">
        <x:v>Isabella Moore</x:v>
      </x:c>
      <x:c r="C25" s="17" t="str">
        <x:v>Employee</x:v>
      </x:c>
      <x:c r="D25" s="17" t="str">
        <x:v>Marketing</x:v>
      </x:c>
      <x:c r="E25" s="17" t="str">
        <x:v>Active</x:v>
      </x:c>
      <x:c r="F25" s="17" t="str">
        <x:v>Support Platform</x:v>
      </x:c>
      <x:c r="G25" s="17" t="str">
        <x:v>Elevated</x:v>
      </x:c>
      <x:c r="H25" s="17" t="str">
        <x:v>Restricted</x:v>
      </x:c>
      <x:c r="I25" s="17" t="str">
        <x:v>Yes</x:v>
      </x:c>
      <x:c r="J25" s="17" t="str">
        <x:v>No</x:v>
      </x:c>
      <x:c r="K25" s="17" t="str">
        <x:v>Remove</x:v>
      </x:c>
      <x:c r="L25" s="17" t="str">
        <x:v>Yes</x:v>
      </x:c>
      <x:c r="M25" s="17" t="str">
        <x:v>Support System Owner</x:v>
      </x:c>
      <x:c r="N25" s="21" t="n">
        <x:v>46298</x:v>
      </x:c>
      <x:c r="O25" s="17" t="str">
        <x:v>Open</x:v>
      </x:c>
    </x:row>
    <x:row r="26">
      <x:c r="A26" s="17" t="str">
        <x:v>AR-022</x:v>
      </x:c>
      <x:c r="B26" s="17" t="str">
        <x:v>Isabella Moore</x:v>
      </x:c>
      <x:c r="C26" s="17" t="str">
        <x:v>Employee</x:v>
      </x:c>
      <x:c r="D26" s="17" t="str">
        <x:v>Marketing</x:v>
      </x:c>
      <x:c r="E26" s="17" t="str">
        <x:v>Active</x:v>
      </x:c>
      <x:c r="F26" s="17" t="str">
        <x:v>Microsoft 365</x:v>
      </x:c>
      <x:c r="G26" s="17" t="str">
        <x:v>Standard</x:v>
      </x:c>
      <x:c r="H26" s="17" t="str">
        <x:v>Internal</x:v>
      </x:c>
      <x:c r="I26" s="17" t="str">
        <x:v>Yes</x:v>
      </x:c>
      <x:c r="J26" s="17" t="str">
        <x:v>Yes</x:v>
      </x:c>
      <x:c r="K26" s="17" t="str">
        <x:v>Retain</x:v>
      </x:c>
      <x:c r="L26" s="17" t="str">
        <x:v>No</x:v>
      </x:c>
      <x:c r="M26" s="17" t="str">
        <x:v>Marketing</x:v>
      </x:c>
      <x:c r="N26" s="21"/>
      <x:c r="O26" s="17" t="str">
        <x:v>Not Required</x:v>
      </x:c>
    </x:row>
    <x:row r="27">
      <x:c r="A27" s="17" t="str">
        <x:v>AR-023</x:v>
      </x:c>
      <x:c r="B27" s="17" t="str">
        <x:v>Caleb Jones</x:v>
      </x:c>
      <x:c r="C27" s="17" t="str">
        <x:v>Employee</x:v>
      </x:c>
      <x:c r="D27" s="17" t="str">
        <x:v>Information Technology</x:v>
      </x:c>
      <x:c r="E27" s="17" t="str">
        <x:v>Active</x:v>
      </x:c>
      <x:c r="F27" s="17" t="str">
        <x:v>Microsoft 365</x:v>
      </x:c>
      <x:c r="G27" s="17" t="str">
        <x:v>Privileged</x:v>
      </x:c>
      <x:c r="H27" s="17" t="str">
        <x:v>Confidential</x:v>
      </x:c>
      <x:c r="I27" s="17" t="str">
        <x:v>Yes</x:v>
      </x:c>
      <x:c r="J27" s="17" t="str">
        <x:v>Yes</x:v>
      </x:c>
      <x:c r="K27" s="17" t="str">
        <x:v>Retain</x:v>
      </x:c>
      <x:c r="L27" s="17" t="str">
        <x:v>No</x:v>
      </x:c>
      <x:c r="M27" s="17" t="str">
        <x:v>Executive Leadership</x:v>
      </x:c>
      <x:c r="N27" s="21"/>
      <x:c r="O27" s="17" t="str">
        <x:v>Not Required</x:v>
      </x:c>
    </x:row>
    <x:row r="28">
      <x:c r="A28" s="17" t="str">
        <x:v>AR-024</x:v>
      </x:c>
      <x:c r="B28" s="17" t="str">
        <x:v>Caleb Jones</x:v>
      </x:c>
      <x:c r="C28" s="17" t="str">
        <x:v>Employee</x:v>
      </x:c>
      <x:c r="D28" s="17" t="str">
        <x:v>Information Technology</x:v>
      </x:c>
      <x:c r="E28" s="17" t="str">
        <x:v>Active</x:v>
      </x:c>
      <x:c r="F28" s="17" t="str">
        <x:v>AWS Production</x:v>
      </x:c>
      <x:c r="G28" s="17" t="str">
        <x:v>Privileged</x:v>
      </x:c>
      <x:c r="H28" s="17" t="str">
        <x:v>Restricted</x:v>
      </x:c>
      <x:c r="I28" s="17" t="str">
        <x:v>Yes</x:v>
      </x:c>
      <x:c r="J28" s="17" t="str">
        <x:v>Yes</x:v>
      </x:c>
      <x:c r="K28" s="17" t="str">
        <x:v>Retain</x:v>
      </x:c>
      <x:c r="L28" s="17" t="str">
        <x:v>No</x:v>
      </x:c>
      <x:c r="M28" s="17" t="str">
        <x:v>Executive Leadership</x:v>
      </x:c>
      <x:c r="N28" s="21"/>
      <x:c r="O28" s="17" t="str">
        <x:v>Not Required</x:v>
      </x:c>
    </x:row>
    <x:row r="29">
      <x:c r="A29" s="17" t="str">
        <x:v>AR-025</x:v>
      </x:c>
      <x:c r="B29" s="17" t="str">
        <x:v>Mia Carter</x:v>
      </x:c>
      <x:c r="C29" s="17" t="str">
        <x:v>Temporary QA</x:v>
      </x:c>
      <x:c r="D29" s="17" t="str">
        <x:v>Quality Assurance</x:v>
      </x:c>
      <x:c r="E29" s="17" t="str">
        <x:v>Active</x:v>
      </x:c>
      <x:c r="F29" s="17" t="str">
        <x:v>GitHub</x:v>
      </x:c>
      <x:c r="G29" s="17" t="str">
        <x:v>Elevated</x:v>
      </x:c>
      <x:c r="H29" s="17" t="str">
        <x:v>Confidential</x:v>
      </x:c>
      <x:c r="I29" s="17" t="str">
        <x:v>Yes</x:v>
      </x:c>
      <x:c r="J29" s="17" t="str">
        <x:v>Yes</x:v>
      </x:c>
      <x:c r="K29" s="17" t="str">
        <x:v>Retain</x:v>
      </x:c>
      <x:c r="L29" s="17" t="str">
        <x:v>No</x:v>
      </x:c>
      <x:c r="M29" s="17" t="str">
        <x:v>Software Development</x:v>
      </x:c>
      <x:c r="N29" s="21" t="n">
        <x:v>46310</x:v>
      </x:c>
      <x:c r="O29" s="17" t="str">
        <x:v>Scheduled</x:v>
      </x:c>
    </x:row>
    <x:row r="30">
      <x:c r="A30" s="17" t="str">
        <x:v>AR-026</x:v>
      </x:c>
      <x:c r="B30" s="17" t="str">
        <x:v>Mia Carter</x:v>
      </x:c>
      <x:c r="C30" s="17" t="str">
        <x:v>Temporary QA</x:v>
      </x:c>
      <x:c r="D30" s="17" t="str">
        <x:v>Quality Assurance</x:v>
      </x:c>
      <x:c r="E30" s="17" t="str">
        <x:v>Active</x:v>
      </x:c>
      <x:c r="F30" s="17" t="str">
        <x:v>Test Environment</x:v>
      </x:c>
      <x:c r="G30" s="17" t="str">
        <x:v>Standard</x:v>
      </x:c>
      <x:c r="H30" s="17" t="str">
        <x:v>Confidential</x:v>
      </x:c>
      <x:c r="I30" s="17" t="str">
        <x:v>Yes</x:v>
      </x:c>
      <x:c r="J30" s="17" t="str">
        <x:v>Yes</x:v>
      </x:c>
      <x:c r="K30" s="17" t="str">
        <x:v>Retain</x:v>
      </x:c>
      <x:c r="L30" s="17" t="str">
        <x:v>No</x:v>
      </x:c>
      <x:c r="M30" s="17" t="str">
        <x:v>Software Development</x:v>
      </x:c>
      <x:c r="N30" s="21" t="n">
        <x:v>46310</x:v>
      </x:c>
      <x:c r="O30" s="17" t="str">
        <x:v>Scheduled</x:v>
      </x:c>
    </x:row>
    <x:row r="31">
      <x:c r="A31" s="17" t="str">
        <x:v>AR-027</x:v>
      </x:c>
      <x:c r="B31" s="17" t="str">
        <x:v>Zoe Martin</x:v>
      </x:c>
      <x:c r="C31" s="17" t="str">
        <x:v>Employee</x:v>
      </x:c>
      <x:c r="D31" s="17" t="str">
        <x:v>Customer Support</x:v>
      </x:c>
      <x:c r="E31" s="17" t="str">
        <x:v>Active</x:v>
      </x:c>
      <x:c r="F31" s="17" t="str">
        <x:v>Support Platform</x:v>
      </x:c>
      <x:c r="G31" s="17" t="str">
        <x:v>Elevated</x:v>
      </x:c>
      <x:c r="H31" s="17" t="str">
        <x:v>Restricted</x:v>
      </x:c>
      <x:c r="I31" s="17" t="str">
        <x:v>Yes</x:v>
      </x:c>
      <x:c r="J31" s="17" t="str">
        <x:v>Yes</x:v>
      </x:c>
      <x:c r="K31" s="17" t="str">
        <x:v>Retain</x:v>
      </x:c>
      <x:c r="L31" s="17" t="str">
        <x:v>No</x:v>
      </x:c>
      <x:c r="M31" s="17" t="str">
        <x:v>Support System Owner</x:v>
      </x:c>
      <x:c r="N31" s="21"/>
      <x:c r="O31" s="17" t="str">
        <x:v>Not Required</x:v>
      </x:c>
    </x:row>
    <x:row r="32">
      <x:c r="A32" s="18" t="str">
        <x:v>AR-028</x:v>
      </x:c>
      <x:c r="B32" s="18" t="str">
        <x:v>Zoe Martin</x:v>
      </x:c>
      <x:c r="C32" s="18" t="str">
        <x:v>Employee</x:v>
      </x:c>
      <x:c r="D32" s="18" t="str">
        <x:v>Customer Support</x:v>
      </x:c>
      <x:c r="E32" s="18" t="str">
        <x:v>Active</x:v>
      </x:c>
      <x:c r="F32" s="18" t="str">
        <x:v>Microsoft 365</x:v>
      </x:c>
      <x:c r="G32" s="18" t="str">
        <x:v>Standard</x:v>
      </x:c>
      <x:c r="H32" s="18" t="str">
        <x:v>Internal</x:v>
      </x:c>
      <x:c r="I32" s="18" t="str">
        <x:v>Yes</x:v>
      </x:c>
      <x:c r="J32" s="18" t="str">
        <x:v>Yes</x:v>
      </x:c>
      <x:c r="K32" s="18" t="str">
        <x:v>Retain</x:v>
      </x:c>
      <x:c r="L32" s="18" t="str">
        <x:v>No</x:v>
      </x:c>
      <x:c r="M32" s="18" t="str">
        <x:v>Customer Support</x:v>
      </x:c>
      <x:c r="N32" s="22"/>
      <x:c r="O32" s="18" t="str">
        <x:v>Not Required</x:v>
      </x:c>
    </x:row>
  </x:sheetData>
  <x:mergeCells>
    <x:mergeCell ref="A1:O1"/>
    <x:mergeCell ref="A2:O2"/>
  </x:mergeCells>
  <x:conditionalFormatting sqref="K5:K32">
    <x:cfRule type="containsText" dxfId="36" priority="1" operator="containsText" text="Critical"/>
    <x:cfRule type="containsText" dxfId="37" priority="2" operator="containsText" text="High"/>
    <x:cfRule type="containsText" dxfId="38" priority="3" operator="containsText" text="Moderate"/>
    <x:cfRule type="containsText" dxfId="39" priority="4" operator="containsText" text="Implemented"/>
    <x:cfRule type="containsText" dxfId="40" priority="5" operator="containsText" text="Retain"/>
    <x:cfRule type="containsText" dxfId="41" priority="6" operator="containsText" text="Yes"/>
  </x:conditionalFormatting>
  <x:conditionalFormatting sqref="L5:L32">
    <x:cfRule type="containsText" dxfId="42" priority="7" operator="containsText" text="Critical"/>
    <x:cfRule type="containsText" dxfId="43" priority="8" operator="containsText" text="High"/>
    <x:cfRule type="containsText" dxfId="44" priority="9" operator="containsText" text="Moderate"/>
    <x:cfRule type="containsText" dxfId="45" priority="10" operator="containsText" text="Implemented"/>
    <x:cfRule type="containsText" dxfId="46" priority="11" operator="containsText" text="Retain"/>
    <x:cfRule type="containsText" dxfId="47" priority="12" operator="containsText" text="Yes"/>
  </x:conditionalFormatting>
  <x:conditionalFormatting sqref="O5:O32">
    <x:cfRule type="containsText" dxfId="48" priority="13" operator="containsText" text="Critical"/>
    <x:cfRule type="containsText" dxfId="49" priority="14" operator="containsText" text="High"/>
    <x:cfRule type="containsText" dxfId="50" priority="15" operator="containsText" text="Moderate"/>
    <x:cfRule type="containsText" dxfId="51" priority="16" operator="containsText" text="Implemented"/>
    <x:cfRule type="containsText" dxfId="52" priority="17" operator="containsText" text="Retain"/>
    <x:cfRule type="containsText" dxfId="53" priority="18" operator="containsText" text="Yes"/>
  </x:conditionalFormatting>
  <x:pageMargins left="0.7" right="0.7" top="0.75" bottom="0.75" header="0.3" footer="0.3"/>
  <x:tableParts count="1">
    <x:tablePart xmlns:r="http://schemas.openxmlformats.org/officeDocument/2006/relationships" r:id="R3fdf3a6bf4dd4001"/>
  </x:tableParts>
</x:worksheet>
</file>

<file path=xl/worksheets/sheet7.xml><?xml version="1.0" encoding="utf-8"?>
<x:worksheet xmlns:x="http://schemas.openxmlformats.org/spreadsheetml/2006/main">
  <x:sheetViews>
    <x:sheetView showGridLines="0" workbookViewId="0"/>
  </x:sheetViews>
  <x:sheetFormatPr defaultRowHeight="15"/>
  <x:cols>
    <x:col min="1" max="1" width="18" hidden="0" customWidth="1"/>
    <x:col min="2" max="2" width="18" hidden="0" customWidth="1"/>
    <x:col min="3" max="3" width="18" hidden="0" customWidth="1"/>
    <x:col min="4" max="4" width="52" hidden="0" customWidth="1"/>
    <x:col min="5" max="5" width="14" hidden="0" customWidth="1"/>
    <x:col min="6" max="6" width="14" hidden="0" customWidth="1"/>
    <x:col min="7" max="7" width="14" hidden="0" customWidth="1"/>
    <x:col min="8" max="8" width="14" hidden="0" customWidth="1"/>
    <x:col min="9" max="9" width="23" hidden="0" customWidth="1"/>
    <x:col min="10" max="10" width="15" hidden="0" customWidth="1"/>
    <x:col min="11" max="11" width="16" hidden="0" customWidth="1"/>
    <x:col min="12" max="12" width="16" hidden="0" customWidth="1"/>
    <x:col min="13" max="13" width="16" hidden="0" customWidth="1"/>
    <x:col min="14" max="14" width="52" hidden="0" customWidth="1"/>
  </x:cols>
  <x:sheetData>
    <x:row r="1" ht="32" customHeight="1">
      <x:c r="A1" s="3" t="str">
        <x:v>Trainory | Findings Data</x:v>
      </x:c>
      <x:c r="B1" s="3" t="str">
        <x:v>Trainory | Findings Data</x:v>
      </x:c>
      <x:c r="C1" s="3" t="str">
        <x:v>Trainory | Findings Data</x:v>
      </x:c>
      <x:c r="D1" s="3" t="str">
        <x:v>Trainory | Findings Data</x:v>
      </x:c>
      <x:c r="E1" s="3" t="str">
        <x:v>Trainory | Findings Data</x:v>
      </x:c>
      <x:c r="F1" s="3" t="str">
        <x:v>Trainory | Findings Data</x:v>
      </x:c>
      <x:c r="G1" s="3" t="str">
        <x:v>Trainory | Findings Data</x:v>
      </x:c>
      <x:c r="H1" s="3" t="str">
        <x:v>Trainory | Findings Data</x:v>
      </x:c>
      <x:c r="I1" s="3" t="str">
        <x:v>Trainory | Findings Data</x:v>
      </x:c>
      <x:c r="J1" s="3" t="str">
        <x:v>Trainory | Findings Data</x:v>
      </x:c>
      <x:c r="K1" s="3" t="str">
        <x:v>Trainory | Findings Data</x:v>
      </x:c>
      <x:c r="L1" s="3" t="str">
        <x:v>Trainory | Findings Data</x:v>
      </x:c>
      <x:c r="M1" s="3" t="str">
        <x:v>Trainory | Findings Data</x:v>
      </x:c>
      <x:c r="N1" s="3" t="str">
        <x:v>Trainory | Findings Data</x:v>
      </x:c>
    </x:row>
    <x:row r="2" ht="24" customHeight="1">
      <x:c r="A2" s="6" t="str">
        <x:v>Normalized vendor and access-review findings for cross-functional reporting</x:v>
      </x:c>
      <x:c r="B2" s="6" t="str">
        <x:v>Normalized vendor and access-review findings for cross-functional reporting</x:v>
      </x:c>
      <x:c r="C2" s="6" t="str">
        <x:v>Normalized vendor and access-review findings for cross-functional reporting</x:v>
      </x:c>
      <x:c r="D2" s="6" t="str">
        <x:v>Normalized vendor and access-review findings for cross-functional reporting</x:v>
      </x:c>
      <x:c r="E2" s="6" t="str">
        <x:v>Normalized vendor and access-review findings for cross-functional reporting</x:v>
      </x:c>
      <x:c r="F2" s="6" t="str">
        <x:v>Normalized vendor and access-review findings for cross-functional reporting</x:v>
      </x:c>
      <x:c r="G2" s="6" t="str">
        <x:v>Normalized vendor and access-review findings for cross-functional reporting</x:v>
      </x:c>
      <x:c r="H2" s="6" t="str">
        <x:v>Normalized vendor and access-review findings for cross-functional reporting</x:v>
      </x:c>
      <x:c r="I2" s="6" t="str">
        <x:v>Normalized vendor and access-review findings for cross-functional reporting</x:v>
      </x:c>
      <x:c r="J2" s="6" t="str">
        <x:v>Normalized vendor and access-review findings for cross-functional reporting</x:v>
      </x:c>
      <x:c r="K2" s="6" t="str">
        <x:v>Normalized vendor and access-review findings for cross-functional reporting</x:v>
      </x:c>
      <x:c r="L2" s="6" t="str">
        <x:v>Normalized vendor and access-review findings for cross-functional reporting</x:v>
      </x:c>
      <x:c r="M2" s="6" t="str">
        <x:v>Normalized vendor and access-review findings for cross-functional reporting</x:v>
      </x:c>
      <x:c r="N2" s="6" t="str">
        <x:v>Normalized vendor and access-review findings for cross-functional reporting</x:v>
      </x:c>
    </x:row>
    <x:row r="4" ht="34" customHeight="1">
      <x:c r="A4" s="12" t="str">
        <x:v>Source</x:v>
      </x:c>
      <x:c r="B4" s="12" t="str">
        <x:v>Finding ID</x:v>
      </x:c>
      <x:c r="C4" s="12" t="str">
        <x:v>Domain</x:v>
      </x:c>
      <x:c r="D4" s="12" t="str">
        <x:v>Finding</x:v>
      </x:c>
      <x:c r="E4" s="12" t="str">
        <x:v>Likelihood</x:v>
      </x:c>
      <x:c r="F4" s="12" t="str">
        <x:v>Impact</x:v>
      </x:c>
      <x:c r="G4" s="12" t="str">
        <x:v>Risk Score</x:v>
      </x:c>
      <x:c r="H4" s="12" t="str">
        <x:v>Rating</x:v>
      </x:c>
      <x:c r="I4" s="12" t="str">
        <x:v>Owner</x:v>
      </x:c>
      <x:c r="J4" s="12" t="str">
        <x:v>Target Date</x:v>
      </x:c>
      <x:c r="K4" s="12" t="str">
        <x:v>Status</x:v>
      </x:c>
      <x:c r="L4" s="12" t="str">
        <x:v>Residual Score</x:v>
      </x:c>
      <x:c r="M4" s="12" t="str">
        <x:v>Residual Rating</x:v>
      </x:c>
      <x:c r="N4" s="12" t="str">
        <x:v>Corrective Action</x:v>
      </x:c>
    </x:row>
    <x:row r="5">
      <x:c r="A5" s="17" t="str">
        <x:v>Vendor Risk</x:v>
      </x:c>
      <x:c r="B5" s="17" t="str">
        <x:v>VRF-01</x:v>
      </x:c>
      <x:c r="C5" s="17" t="str">
        <x:v>Governance</x:v>
      </x:c>
      <x:c r="D5" s="17" t="str">
        <x:v>Independent control assurance is incomplete.</x:v>
      </x:c>
      <x:c r="E5" s="17" t="n">
        <x:v>3</x:v>
      </x:c>
      <x:c r="F5" s="17" t="n">
        <x:v>4</x:v>
      </x:c>
      <x:c r="G5" s="17" t="n">
        <x:v>12</x:v>
      </x:c>
      <x:c r="H5" s="17" t="str">
        <x:v>High</x:v>
      </x:c>
      <x:c r="I5" s="17" t="str">
        <x:v>Vendor Management</x:v>
      </x:c>
      <x:c r="J5" s="21" t="n">
        <x:v>46341</x:v>
      </x:c>
      <x:c r="K5" s="17" t="str">
        <x:v>Open</x:v>
      </x:c>
      <x:c r="L5" s="17" t="n">
        <x:v>8</x:v>
      </x:c>
      <x:c r="M5" s="17" t="str">
        <x:v>Moderate</x:v>
      </x:c>
      <x:c r="N5" s="17" t="str">
        <x:v>Require a current SOC 2 Type II report or equivalent assurance package before broad production rollout.</x:v>
      </x:c>
    </x:row>
    <x:row r="6">
      <x:c r="A6" s="17" t="str">
        <x:v>Vendor Risk</x:v>
      </x:c>
      <x:c r="B6" s="17" t="str">
        <x:v>VRF-02</x:v>
      </x:c>
      <x:c r="C6" s="17" t="str">
        <x:v>Identity &amp; Access</x:v>
      </x:c>
      <x:c r="D6" s="17" t="str">
        <x:v>Privileged-access reviews occur annually rather than quarterly.</x:v>
      </x:c>
      <x:c r="E6" s="17" t="n">
        <x:v>3</x:v>
      </x:c>
      <x:c r="F6" s="17" t="n">
        <x:v>4</x:v>
      </x:c>
      <x:c r="G6" s="17" t="n">
        <x:v>12</x:v>
      </x:c>
      <x:c r="H6" s="17" t="str">
        <x:v>High</x:v>
      </x:c>
      <x:c r="I6" s="17" t="str">
        <x:v>Cybersecurity / IT</x:v>
      </x:c>
      <x:c r="J6" s="21" t="n">
        <x:v>46371</x:v>
      </x:c>
      <x:c r="K6" s="17" t="str">
        <x:v>In Progress</x:v>
      </x:c>
      <x:c r="L6" s="17" t="n">
        <x:v>6</x:v>
      </x:c>
      <x:c r="M6" s="17" t="str">
        <x:v>Moderate</x:v>
      </x:c>
      <x:c r="N6" s="17" t="str">
        <x:v>Require quarterly review of privileged roles and remediation evidence.</x:v>
      </x:c>
    </x:row>
    <x:row r="7">
      <x:c r="A7" s="17" t="str">
        <x:v>Vendor Risk</x:v>
      </x:c>
      <x:c r="B7" s="17" t="str">
        <x:v>VRF-03</x:v>
      </x:c>
      <x:c r="C7" s="17" t="str">
        <x:v>Monitoring &amp; Response</x:v>
      </x:c>
      <x:c r="D7" s="17" t="str">
        <x:v>Incident notice is drafted as 72 hours after vendor confirmation.</x:v>
      </x:c>
      <x:c r="E7" s="17" t="n">
        <x:v>4</x:v>
      </x:c>
      <x:c r="F7" s="17" t="n">
        <x:v>5</x:v>
      </x:c>
      <x:c r="G7" s="17" t="n">
        <x:v>20</x:v>
      </x:c>
      <x:c r="H7" s="17" t="str">
        <x:v>Critical</x:v>
      </x:c>
      <x:c r="I7" s="17" t="str">
        <x:v>Privacy / Legal</x:v>
      </x:c>
      <x:c r="J7" s="21" t="n">
        <x:v>46326</x:v>
      </x:c>
      <x:c r="K7" s="17" t="str">
        <x:v>Open</x:v>
      </x:c>
      <x:c r="L7" s="17" t="n">
        <x:v>10</x:v>
      </x:c>
      <x:c r="M7" s="17" t="str">
        <x:v>High</x:v>
      </x:c>
      <x:c r="N7" s="17" t="str">
        <x:v>Require notice without undue delay and within 24 hours of confirmed Trainory impact.</x:v>
      </x:c>
    </x:row>
    <x:row r="8">
      <x:c r="A8" s="17" t="str">
        <x:v>Vendor Risk</x:v>
      </x:c>
      <x:c r="B8" s="17" t="str">
        <x:v>VRF-04</x:v>
      </x:c>
      <x:c r="C8" s="17" t="str">
        <x:v>Resilience</x:v>
      </x:c>
      <x:c r="D8" s="17" t="str">
        <x:v>No current disaster-recovery test evidence was provided.</x:v>
      </x:c>
      <x:c r="E8" s="17" t="n">
        <x:v>4</x:v>
      </x:c>
      <x:c r="F8" s="17" t="n">
        <x:v>5</x:v>
      </x:c>
      <x:c r="G8" s="17" t="n">
        <x:v>20</x:v>
      </x:c>
      <x:c r="H8" s="17" t="str">
        <x:v>Critical</x:v>
      </x:c>
      <x:c r="I8" s="17" t="str">
        <x:v>Vendor Management</x:v>
      </x:c>
      <x:c r="J8" s="21" t="n">
        <x:v>46326</x:v>
      </x:c>
      <x:c r="K8" s="17" t="str">
        <x:v>Open</x:v>
      </x:c>
      <x:c r="L8" s="17" t="n">
        <x:v>10</x:v>
      </x:c>
      <x:c r="M8" s="17" t="str">
        <x:v>High</x:v>
      </x:c>
      <x:c r="N8" s="17" t="str">
        <x:v>Obtain recent DR test results, recovery objectives, issues, and remediation evidence before production.</x:v>
      </x:c>
    </x:row>
    <x:row r="9">
      <x:c r="A9" s="17" t="str">
        <x:v>Vendor Risk</x:v>
      </x:c>
      <x:c r="B9" s="17" t="str">
        <x:v>VRF-05</x:v>
      </x:c>
      <x:c r="C9" s="17" t="str">
        <x:v>Privacy</x:v>
      </x:c>
      <x:c r="D9" s="17" t="str">
        <x:v>Retention, backup deletion, and deletion confirmation are not defined.</x:v>
      </x:c>
      <x:c r="E9" s="17" t="n">
        <x:v>4</x:v>
      </x:c>
      <x:c r="F9" s="17" t="n">
        <x:v>5</x:v>
      </x:c>
      <x:c r="G9" s="17" t="n">
        <x:v>20</x:v>
      </x:c>
      <x:c r="H9" s="17" t="str">
        <x:v>Critical</x:v>
      </x:c>
      <x:c r="I9" s="17" t="str">
        <x:v>Privacy / Legal</x:v>
      </x:c>
      <x:c r="J9" s="21" t="n">
        <x:v>46341</x:v>
      </x:c>
      <x:c r="K9" s="17" t="str">
        <x:v>In Progress</x:v>
      </x:c>
      <x:c r="L9" s="17" t="n">
        <x:v>10</x:v>
      </x:c>
      <x:c r="M9" s="17" t="str">
        <x:v>High</x:v>
      </x:c>
      <x:c r="N9" s="17" t="str">
        <x:v>Add a data-retention and deletion schedule with completion SLA and written confirmation.</x:v>
      </x:c>
    </x:row>
    <x:row r="10">
      <x:c r="A10" s="17" t="str">
        <x:v>Vendor Risk</x:v>
      </x:c>
      <x:c r="B10" s="17" t="str">
        <x:v>VRF-06</x:v>
      </x:c>
      <x:c r="C10" s="17" t="str">
        <x:v>Third Parties</x:v>
      </x:c>
      <x:c r="D10" s="17" t="str">
        <x:v>Evidence that security and notification duties flow to subprocessors is incomplete.</x:v>
      </x:c>
      <x:c r="E10" s="17" t="n">
        <x:v>3</x:v>
      </x:c>
      <x:c r="F10" s="17" t="n">
        <x:v>4</x:v>
      </x:c>
      <x:c r="G10" s="17" t="n">
        <x:v>12</x:v>
      </x:c>
      <x:c r="H10" s="17" t="str">
        <x:v>High</x:v>
      </x:c>
      <x:c r="I10" s="17" t="str">
        <x:v>Privacy / Legal</x:v>
      </x:c>
      <x:c r="J10" s="21" t="n">
        <x:v>46356</x:v>
      </x:c>
      <x:c r="K10" s="17" t="str">
        <x:v>Open</x:v>
      </x:c>
      <x:c r="L10" s="17" t="n">
        <x:v>6</x:v>
      </x:c>
      <x:c r="M10" s="17" t="str">
        <x:v>Moderate</x:v>
      </x:c>
      <x:c r="N10" s="17" t="str">
        <x:v>Obtain contractual attestation, audit-cooperation rights, and termination rights for material security failure.</x:v>
      </x:c>
    </x:row>
    <x:row r="11">
      <x:c r="A11" s="17" t="str">
        <x:v>Access Review</x:v>
      </x:c>
      <x:c r="B11" s="17" t="str">
        <x:v>ARF-01</x:v>
      </x:c>
      <x:c r="C11" s="17" t="str">
        <x:v>Identity &amp; Access</x:v>
      </x:c>
      <x:c r="D11" s="17" t="str">
        <x:v>Terminated contractor retained AWS access after the contract ended.</x:v>
      </x:c>
      <x:c r="E11" s="17" t="n">
        <x:v>5</x:v>
      </x:c>
      <x:c r="F11" s="17" t="n">
        <x:v>5</x:v>
      </x:c>
      <x:c r="G11" s="17" t="n">
        <x:v>25</x:v>
      </x:c>
      <x:c r="H11" s="17" t="str">
        <x:v>Critical</x:v>
      </x:c>
      <x:c r="I11" s="17" t="str">
        <x:v>Cybersecurity / IT</x:v>
      </x:c>
      <x:c r="J11" s="21" t="n">
        <x:v>46296</x:v>
      </x:c>
      <x:c r="K11" s="17" t="str">
        <x:v>Open</x:v>
      </x:c>
      <x:c r="L11" s="17" t="n">
        <x:v>5</x:v>
      </x:c>
      <x:c r="M11" s="17" t="str">
        <x:v>Moderate</x:v>
      </x:c>
      <x:c r="N11" s="17" t="str">
        <x:v>Disable account, revoke sessions, investigate post-termination activity, and verify all accounts are removed.</x:v>
      </x:c>
    </x:row>
    <x:row r="12">
      <x:c r="A12" s="17" t="str">
        <x:v>Access Review</x:v>
      </x:c>
      <x:c r="B12" s="17" t="str">
        <x:v>ARF-02</x:v>
      </x:c>
      <x:c r="C12" s="17" t="str">
        <x:v>Identity &amp; Access</x:v>
      </x:c>
      <x:c r="D12" s="17" t="str">
        <x:v>Developer retained broad production administration and direct customer-database access.</x:v>
      </x:c>
      <x:c r="E12" s="17" t="n">
        <x:v>4</x:v>
      </x:c>
      <x:c r="F12" s="17" t="n">
        <x:v>5</x:v>
      </x:c>
      <x:c r="G12" s="17" t="n">
        <x:v>20</x:v>
      </x:c>
      <x:c r="H12" s="17" t="str">
        <x:v>Critical</x:v>
      </x:c>
      <x:c r="I12" s="17" t="str">
        <x:v>Cloud Engineering</x:v>
      </x:c>
      <x:c r="J12" s="21" t="n">
        <x:v>46303</x:v>
      </x:c>
      <x:c r="K12" s="17" t="str">
        <x:v>Open</x:v>
      </x:c>
      <x:c r="L12" s="17" t="n">
        <x:v>10</x:v>
      </x:c>
      <x:c r="M12" s="17" t="str">
        <x:v>High</x:v>
      </x:c>
      <x:c r="N12" s="17" t="str">
        <x:v>Replace AWS Administrator with deployment role and remove direct database access.</x:v>
      </x:c>
    </x:row>
    <x:row r="13">
      <x:c r="A13" s="17" t="str">
        <x:v>Access Review</x:v>
      </x:c>
      <x:c r="B13" s="17" t="str">
        <x:v>ARF-03</x:v>
      </x:c>
      <x:c r="C13" s="17" t="str">
        <x:v>Identity &amp; Access</x:v>
      </x:c>
      <x:c r="D13" s="17" t="str">
        <x:v>Support employee held administrator and direct database access beyond support duties.</x:v>
      </x:c>
      <x:c r="E13" s="17" t="n">
        <x:v>4</x:v>
      </x:c>
      <x:c r="F13" s="17" t="n">
        <x:v>5</x:v>
      </x:c>
      <x:c r="G13" s="17" t="n">
        <x:v>20</x:v>
      </x:c>
      <x:c r="H13" s="17" t="str">
        <x:v>Critical</x:v>
      </x:c>
      <x:c r="I13" s="17" t="str">
        <x:v>Support System Owner</x:v>
      </x:c>
      <x:c r="J13" s="21" t="n">
        <x:v>46300</x:v>
      </x:c>
      <x:c r="K13" s="17" t="str">
        <x:v>In Progress</x:v>
      </x:c>
      <x:c r="L13" s="17" t="n">
        <x:v>8</x:v>
      </x:c>
      <x:c r="M13" s="17" t="str">
        <x:v>Moderate</x:v>
      </x:c>
      <x:c r="N13" s="17" t="str">
        <x:v>Assign least-privilege support-agent role and remove direct database access.</x:v>
      </x:c>
    </x:row>
    <x:row r="14">
      <x:c r="A14" s="17" t="str">
        <x:v>Access Review</x:v>
      </x:c>
      <x:c r="B14" s="17" t="str">
        <x:v>ARF-04</x:v>
      </x:c>
      <x:c r="C14" s="17" t="str">
        <x:v>Identity &amp; Access</x:v>
      </x:c>
      <x:c r="D14" s="17" t="str">
        <x:v>Data analyst had direct production access rather than a governed analytics view.</x:v>
      </x:c>
      <x:c r="E14" s="17" t="n">
        <x:v>3</x:v>
      </x:c>
      <x:c r="F14" s="17" t="n">
        <x:v>5</x:v>
      </x:c>
      <x:c r="G14" s="17" t="n">
        <x:v>15</x:v>
      </x:c>
      <x:c r="H14" s="17" t="str">
        <x:v>High</x:v>
      </x:c>
      <x:c r="I14" s="17" t="str">
        <x:v>Data Owner</x:v>
      </x:c>
      <x:c r="J14" s="21" t="n">
        <x:v>46310</x:v>
      </x:c>
      <x:c r="K14" s="17" t="str">
        <x:v>Open</x:v>
      </x:c>
      <x:c r="L14" s="17" t="n">
        <x:v>8</x:v>
      </x:c>
      <x:c r="M14" s="17" t="str">
        <x:v>Moderate</x:v>
      </x:c>
      <x:c r="N14" s="17" t="str">
        <x:v>Create de-identified analytics view and remove raw production access.</x:v>
      </x:c>
    </x:row>
    <x:row r="15">
      <x:c r="A15" s="17" t="str">
        <x:v>Access Review</x:v>
      </x:c>
      <x:c r="B15" s="17" t="str">
        <x:v>ARF-05</x:v>
      </x:c>
      <x:c r="C15" s="17" t="str">
        <x:v>Identity &amp; Access</x:v>
      </x:c>
      <x:c r="D15" s="17" t="str">
        <x:v>Finance user retained Payment Portal administrator privileges not required for routine duties.</x:v>
      </x:c>
      <x:c r="E15" s="17" t="n">
        <x:v>3</x:v>
      </x:c>
      <x:c r="F15" s="17" t="n">
        <x:v>4</x:v>
      </x:c>
      <x:c r="G15" s="17" t="n">
        <x:v>12</x:v>
      </x:c>
      <x:c r="H15" s="17" t="str">
        <x:v>High</x:v>
      </x:c>
      <x:c r="I15" s="17" t="str">
        <x:v>Finance System Owner</x:v>
      </x:c>
      <x:c r="J15" s="21" t="n">
        <x:v>46305</x:v>
      </x:c>
      <x:c r="K15" s="17" t="str">
        <x:v>Open</x:v>
      </x:c>
      <x:c r="L15" s="17" t="n">
        <x:v>6</x:v>
      </x:c>
      <x:c r="M15" s="17" t="str">
        <x:v>Moderate</x:v>
      </x:c>
      <x:c r="N15" s="17" t="str">
        <x:v>Replace administrator with finance-analyst role and validate refund permissions.</x:v>
      </x:c>
    </x:row>
    <x:row r="16">
      <x:c r="A16" s="17" t="str">
        <x:v>Access Review</x:v>
      </x:c>
      <x:c r="B16" s="17" t="str">
        <x:v>ARF-06</x:v>
      </x:c>
      <x:c r="C16" s="17" t="str">
        <x:v>Identity &amp; Access</x:v>
      </x:c>
      <x:c r="D16" s="17" t="str">
        <x:v>Vendor repository access had no documented expiration or completed sponsor attestation.</x:v>
      </x:c>
      <x:c r="E16" s="17" t="n">
        <x:v>3</x:v>
      </x:c>
      <x:c r="F16" s="17" t="n">
        <x:v>4</x:v>
      </x:c>
      <x:c r="G16" s="17" t="n">
        <x:v>12</x:v>
      </x:c>
      <x:c r="H16" s="17" t="str">
        <x:v>High</x:v>
      </x:c>
      <x:c r="I16" s="17" t="str">
        <x:v>Product Management</x:v>
      </x:c>
      <x:c r="J16" s="21" t="n">
        <x:v>46300</x:v>
      </x:c>
      <x:c r="K16" s="17" t="str">
        <x:v>Open</x:v>
      </x:c>
      <x:c r="L16" s="17" t="n">
        <x:v>6</x:v>
      </x:c>
      <x:c r="M16" s="17" t="str">
        <x:v>Moderate</x:v>
      </x:c>
      <x:c r="N16" s="17" t="str">
        <x:v>Record sponsor, scope, expiration, and quarterly review requirement.</x:v>
      </x:c>
    </x:row>
    <x:row r="17">
      <x:c r="A17" s="17" t="str">
        <x:v>Access Review</x:v>
      </x:c>
      <x:c r="B17" s="17" t="str">
        <x:v>ARF-07</x:v>
      </x:c>
      <x:c r="C17" s="17" t="str">
        <x:v>Identity &amp; Access</x:v>
      </x:c>
      <x:c r="D17" s="17" t="str">
        <x:v>Privileged wearable API service account did not have a documented owner.</x:v>
      </x:c>
      <x:c r="E17" s="17" t="n">
        <x:v>4</x:v>
      </x:c>
      <x:c r="F17" s="17" t="n">
        <x:v>5</x:v>
      </x:c>
      <x:c r="G17" s="17" t="n">
        <x:v>20</x:v>
      </x:c>
      <x:c r="H17" s="17" t="str">
        <x:v>Critical</x:v>
      </x:c>
      <x:c r="I17" s="17" t="str">
        <x:v>Software Development</x:v>
      </x:c>
      <x:c r="J17" s="21" t="n">
        <x:v>46303</x:v>
      </x:c>
      <x:c r="K17" s="17" t="str">
        <x:v>Open</x:v>
      </x:c>
      <x:c r="L17" s="17" t="n">
        <x:v>10</x:v>
      </x:c>
      <x:c r="M17" s="17" t="str">
        <x:v>High</x:v>
      </x:c>
      <x:c r="N17" s="17" t="str">
        <x:v>Assign owner, document purpose and permissions, rotate credential, and set review date.</x:v>
      </x:c>
    </x:row>
    <x:row r="18">
      <x:c r="A18" s="18" t="str">
        <x:v>Access Review</x:v>
      </x:c>
      <x:c r="B18" s="18" t="str">
        <x:v>ARF-08</x:v>
      </x:c>
      <x:c r="C18" s="18" t="str">
        <x:v>Identity &amp; Access</x:v>
      </x:c>
      <x:c r="D18" s="18" t="str">
        <x:v>Employee retained Support access after transferring to Marketing.</x:v>
      </x:c>
      <x:c r="E18" s="18" t="n">
        <x:v>3</x:v>
      </x:c>
      <x:c r="F18" s="18" t="n">
        <x:v>4</x:v>
      </x:c>
      <x:c r="G18" s="18" t="n">
        <x:v>12</x:v>
      </x:c>
      <x:c r="H18" s="18" t="str">
        <x:v>High</x:v>
      </x:c>
      <x:c r="I18" s="18" t="str">
        <x:v>Support System Owner</x:v>
      </x:c>
      <x:c r="J18" s="22" t="n">
        <x:v>46298</x:v>
      </x:c>
      <x:c r="K18" s="18" t="str">
        <x:v>Open</x:v>
      </x:c>
      <x:c r="L18" s="18" t="n">
        <x:v>4</x:v>
      </x:c>
      <x:c r="M18" s="18" t="str">
        <x:v>Low</x:v>
      </x:c>
      <x:c r="N18" s="18" t="str">
        <x:v>Remove former support role and search for other inherited permissions.</x:v>
      </x:c>
    </x:row>
  </x:sheetData>
  <x:mergeCells>
    <x:mergeCell ref="A1:N1"/>
    <x:mergeCell ref="A2:N2"/>
  </x:mergeCells>
  <x:conditionalFormatting sqref="H5:H18">
    <x:cfRule type="containsText" dxfId="54" priority="1" operator="containsText" text="Critical"/>
    <x:cfRule type="containsText" dxfId="55" priority="2" operator="containsText" text="High"/>
    <x:cfRule type="containsText" dxfId="56" priority="3" operator="containsText" text="Moderate"/>
    <x:cfRule type="containsText" dxfId="57" priority="4" operator="containsText" text="Implemented"/>
    <x:cfRule type="containsText" dxfId="58" priority="5" operator="containsText" text="Retain"/>
    <x:cfRule type="containsText" dxfId="59" priority="6" operator="containsText" text="Yes"/>
  </x:conditionalFormatting>
  <x:conditionalFormatting sqref="K5:K18">
    <x:cfRule type="containsText" dxfId="60" priority="7" operator="containsText" text="Critical"/>
    <x:cfRule type="containsText" dxfId="61" priority="8" operator="containsText" text="High"/>
    <x:cfRule type="containsText" dxfId="62" priority="9" operator="containsText" text="Moderate"/>
    <x:cfRule type="containsText" dxfId="63" priority="10" operator="containsText" text="Implemented"/>
    <x:cfRule type="containsText" dxfId="64" priority="11" operator="containsText" text="Retain"/>
    <x:cfRule type="containsText" dxfId="65" priority="12" operator="containsText" text="Yes"/>
  </x:conditionalFormatting>
  <x:conditionalFormatting sqref="M5:M18">
    <x:cfRule type="containsText" dxfId="66" priority="13" operator="containsText" text="Critical"/>
    <x:cfRule type="containsText" dxfId="67" priority="14" operator="containsText" text="High"/>
    <x:cfRule type="containsText" dxfId="68" priority="15" operator="containsText" text="Moderate"/>
    <x:cfRule type="containsText" dxfId="69" priority="16" operator="containsText" text="Implemented"/>
    <x:cfRule type="containsText" dxfId="70" priority="17" operator="containsText" text="Retain"/>
    <x:cfRule type="containsText" dxfId="71" priority="18" operator="containsText" text="Yes"/>
  </x:conditionalFormatting>
  <x:pageMargins left="0.7" right="0.7" top="0.75" bottom="0.75" header="0.3" footer="0.3"/>
  <x:tableParts count="1">
    <x:tablePart xmlns:r="http://schemas.openxmlformats.org/officeDocument/2006/relationships" r:id="R7e6bf37f5cee4520"/>
  </x:tableParts>
</x:worksheet>
</file>

<file path=xl/worksheets/sheet8.xml><?xml version="1.0" encoding="utf-8"?>
<x:worksheet xmlns:x="http://schemas.openxmlformats.org/spreadsheetml/2006/main">
  <x:sheetViews>
    <x:sheetView showGridLines="0" workbookViewId="0"/>
  </x:sheetViews>
  <x:sheetFormatPr defaultRowHeight="15"/>
  <x:cols>
    <x:col min="1" max="1" width="20" hidden="0" customWidth="1"/>
    <x:col min="2" max="2" width="20" hidden="0" customWidth="1"/>
    <x:col min="3" max="3" width="18" hidden="0" customWidth="1"/>
    <x:col min="4" max="4" width="18" hidden="0" customWidth="1"/>
    <x:col min="5" max="5" width="18" hidden="0" customWidth="1"/>
    <x:col min="6" max="6" width="18" hidden="0" customWidth="1"/>
  </x:cols>
  <x:sheetData>
    <x:row r="1" ht="32" customHeight="1">
      <x:c r="A1" s="3" t="str">
        <x:v>Trainory | Dashboard Guide</x:v>
      </x:c>
      <x:c r="B1" s="3" t="str">
        <x:v>Trainory | Dashboard Guide</x:v>
      </x:c>
      <x:c r="C1" s="3" t="str">
        <x:v>Trainory | Dashboard Guide</x:v>
      </x:c>
      <x:c r="D1" s="3" t="str">
        <x:v>Trainory | Dashboard Guide</x:v>
      </x:c>
      <x:c r="E1" s="3" t="str">
        <x:v>Trainory | Dashboard Guide</x:v>
      </x:c>
      <x:c r="F1" s="3" t="str">
        <x:v>Trainory | Dashboard Guide</x:v>
      </x:c>
    </x:row>
    <x:row r="2" ht="24" customHeight="1">
      <x:c r="A2" s="6" t="str">
        <x:v>How to use and explain the Step 9 analytics artifact</x:v>
      </x:c>
      <x:c r="B2" s="6" t="str">
        <x:v>How to use and explain the Step 9 analytics artifact</x:v>
      </x:c>
      <x:c r="C2" s="6" t="str">
        <x:v>How to use and explain the Step 9 analytics artifact</x:v>
      </x:c>
      <x:c r="D2" s="6" t="str">
        <x:v>How to use and explain the Step 9 analytics artifact</x:v>
      </x:c>
      <x:c r="E2" s="6" t="str">
        <x:v>How to use and explain the Step 9 analytics artifact</x:v>
      </x:c>
      <x:c r="F2" s="6" t="str">
        <x:v>How to use and explain the Step 9 analytics artifact</x:v>
      </x:c>
    </x:row>
    <x:row r="4">
      <x:c r="A4" s="8" t="str">
        <x:v>WHAT THIS WORKBOOK DEMONSTRATES</x:v>
      </x:c>
      <x:c r="B4" s="8"/>
      <x:c r="C4" s="8"/>
      <x:c r="D4" s="8"/>
      <x:c r="E4" s="8"/>
      <x:c r="F4" s="8"/>
    </x:row>
    <x:row r="5">
      <x:c r="A5" s="185" t="str">
        <x:v>This workbook consolidates Trainory's approved risk register, NIST CSF assessment, vendor-risk assessment, and access review into one executive reporting layer. It demonstrates data normalization, formula-driven KPIs, cross-functional findings analysis, prioritization, and communication of technical risk to leadership.</x:v>
      </x:c>
      <x:c r="B5" s="186"/>
      <x:c r="C5" s="186"/>
      <x:c r="D5" s="186"/>
      <x:c r="E5" s="186"/>
      <x:c r="F5" s="187"/>
    </x:row>
    <x:row r="6">
      <x:c r="A6" s="188"/>
      <x:c r="B6" s="189"/>
      <x:c r="C6" s="189"/>
      <x:c r="D6" s="189"/>
      <x:c r="E6" s="189"/>
      <x:c r="F6" s="190"/>
    </x:row>
    <x:row r="7">
      <x:c r="A7" s="191"/>
      <x:c r="B7" s="192"/>
      <x:c r="C7" s="192"/>
      <x:c r="D7" s="192"/>
      <x:c r="E7" s="192"/>
      <x:c r="F7" s="193"/>
    </x:row>
    <x:row r="9">
      <x:c r="A9" s="8" t="str">
        <x:v>SUGGESTED REVIEW SEQUENCE</x:v>
      </x:c>
      <x:c r="B9" s="8"/>
      <x:c r="C9" s="8"/>
      <x:c r="D9" s="8"/>
      <x:c r="E9" s="8"/>
      <x:c r="F9" s="8"/>
    </x:row>
    <x:row r="10" ht="34" customHeight="1">
      <x:c r="A10" s="12" t="str">
        <x:v>Area</x:v>
      </x:c>
      <x:c r="B10" s="12"/>
      <x:c r="C10" s="12" t="str">
        <x:v>What to explain</x:v>
      </x:c>
      <x:c r="D10" s="12"/>
      <x:c r="E10" s="12"/>
      <x:c r="F10" s="12"/>
    </x:row>
    <x:row r="11" ht="36" customHeight="1">
      <x:c r="A11" s="144" t="str">
        <x:v>Executive KPIs</x:v>
      </x:c>
      <x:c r="B11" s="144"/>
      <x:c r="C11" s="144" t="str">
        <x:v>Start with the six core signals: risk exposure, control maturity, vendor assurance, findings, access exceptions, and risk reduction.</x:v>
      </x:c>
      <x:c r="D11" s="144"/>
      <x:c r="E11" s="144"/>
      <x:c r="F11" s="144"/>
    </x:row>
    <x:row r="12" ht="36" customHeight="1">
      <x:c r="A12" s="144" t="str">
        <x:v>Risk charts</x:v>
      </x:c>
      <x:c r="B12" s="144"/>
      <x:c r="C12" s="144" t="str">
        <x:v>Explain where residual risk remains after considering current controls.</x:v>
      </x:c>
      <x:c r="D12" s="144"/>
      <x:c r="E12" s="144"/>
      <x:c r="F12" s="144"/>
    </x:row>
    <x:row r="13" ht="36" customHeight="1">
      <x:c r="A13" s="144" t="str">
        <x:v>Control maturity</x:v>
      </x:c>
      <x:c r="B13" s="144"/>
      <x:c r="C13" s="144" t="str">
        <x:v>Show how Implemented, Partial, and Not Implemented statuses become a consistent maturity score.</x:v>
      </x:c>
      <x:c r="D13" s="144"/>
      <x:c r="E13" s="144"/>
      <x:c r="F13" s="144"/>
    </x:row>
    <x:row r="14" ht="36" customHeight="1">
      <x:c r="A14" s="144" t="str">
        <x:v>Findings</x:v>
      </x:c>
      <x:c r="B14" s="144"/>
      <x:c r="C14" s="144" t="str">
        <x:v>Connect assessment gaps to assigned owners, corrective actions, deadlines, and residual risk.</x:v>
      </x:c>
      <x:c r="D14" s="144"/>
      <x:c r="E14" s="144"/>
      <x:c r="F14" s="144"/>
    </x:row>
    <x:row r="15" ht="36" customHeight="1">
      <x:c r="A15" s="144" t="str">
        <x:v>Supporting data</x:v>
      </x:c>
      <x:c r="B15" s="144"/>
      <x:c r="C15" s="144" t="str">
        <x:v>Open the data tabs to show that every KPI and chart is traceable to individual records.</x:v>
      </x:c>
      <x:c r="D15" s="144"/>
      <x:c r="E15" s="144"/>
      <x:c r="F15" s="144"/>
    </x:row>
    <x:row r="18">
      <x:c r="A18" s="8" t="str">
        <x:v>INTERVIEW-READY EXPLANATION</x:v>
      </x:c>
      <x:c r="B18" s="8"/>
      <x:c r="C18" s="8"/>
      <x:c r="D18" s="8"/>
      <x:c r="E18" s="8"/>
      <x:c r="F18" s="8"/>
    </x:row>
    <x:row r="19">
      <x:c r="A19" s="158" t="str">
        <x:v>I created a consolidated GRC dashboard for a fictional fitness-technology company. I normalized information from the risk register, NIST CSF assessment, vendor review, and quarterly access certification. I then used formulas to calculate residual-risk concentration, control maturity, vendor assurance, access exceptions, and open findings. The charts help leadership see where exposure is concentrated, while the priority table connects each issue to an owner and remediation status. I kept the calculation layer visible so every number can be traced back to a source record.</x:v>
      </x:c>
      <x:c r="B19" s="159"/>
      <x:c r="C19" s="159"/>
      <x:c r="D19" s="159"/>
      <x:c r="E19" s="159"/>
      <x:c r="F19" s="160"/>
    </x:row>
    <x:row r="20">
      <x:c r="A20" s="199"/>
      <x:c r="B20" s="200"/>
      <x:c r="C20" s="200"/>
      <x:c r="D20" s="200"/>
      <x:c r="E20" s="200"/>
      <x:c r="F20" s="201"/>
    </x:row>
    <x:row r="21">
      <x:c r="A21" s="199"/>
      <x:c r="B21" s="200"/>
      <x:c r="C21" s="200"/>
      <x:c r="D21" s="200"/>
      <x:c r="E21" s="200"/>
      <x:c r="F21" s="201"/>
    </x:row>
    <x:row r="22">
      <x:c r="A22" s="199"/>
      <x:c r="B22" s="200"/>
      <x:c r="C22" s="200"/>
      <x:c r="D22" s="200"/>
      <x:c r="E22" s="200"/>
      <x:c r="F22" s="201"/>
    </x:row>
    <x:row r="23">
      <x:c r="A23" s="161"/>
      <x:c r="B23" s="162"/>
      <x:c r="C23" s="162"/>
      <x:c r="D23" s="162"/>
      <x:c r="E23" s="162"/>
      <x:c r="F23" s="163"/>
    </x:row>
    <x:row r="25">
      <x:c r="A25" s="8" t="str">
        <x:v>ANALYTICS LOGIC</x:v>
      </x:c>
      <x:c r="B25" s="8"/>
      <x:c r="C25" s="8"/>
      <x:c r="D25" s="8"/>
      <x:c r="E25" s="8"/>
      <x:c r="F25" s="8"/>
    </x:row>
    <x:row r="26" ht="34" customHeight="1">
      <x:c r="A26" s="12" t="str">
        <x:v>Metric</x:v>
      </x:c>
      <x:c r="B26" s="12"/>
      <x:c r="C26" s="12" t="str">
        <x:v>Method</x:v>
      </x:c>
      <x:c r="D26" s="12"/>
      <x:c r="E26" s="12"/>
      <x:c r="F26" s="12"/>
    </x:row>
    <x:row r="27" ht="34" customHeight="1">
      <x:c r="A27" s="144" t="str">
        <x:v>Residual risk concentration</x:v>
      </x:c>
      <x:c r="B27" s="144"/>
      <x:c r="C27" s="144" t="str">
        <x:v>Counts the risk register's residual ratings after existing controls.</x:v>
      </x:c>
      <x:c r="D27" s="144"/>
      <x:c r="E27" s="144"/>
      <x:c r="F27" s="144"/>
    </x:row>
    <x:row r="28" ht="34" customHeight="1">
      <x:c r="A28" s="144" t="str">
        <x:v>CSF maturity</x:v>
      </x:c>
      <x:c r="B28" s="144"/>
      <x:c r="C28" s="144" t="str">
        <x:v>Implemented = 100%, Partial = 50%, Not Implemented = 0%, divided by outcomes assessed.</x:v>
      </x:c>
      <x:c r="D28" s="144"/>
      <x:c r="E28" s="144"/>
      <x:c r="F28" s="144"/>
    </x:row>
    <x:row r="29" ht="34" customHeight="1">
      <x:c r="A29" s="144" t="str">
        <x:v>Vendor control score</x:v>
      </x:c>
      <x:c r="B29" s="144"/>
      <x:c r="C29" s="144" t="str">
        <x:v>Total weighted points divided by total possible weighted points.</x:v>
      </x:c>
      <x:c r="D29" s="144"/>
      <x:c r="E29" s="144"/>
      <x:c r="F29" s="144"/>
    </x:row>
    <x:row r="30" ht="34" customHeight="1">
      <x:c r="A30" s="144" t="str">
        <x:v>Access exceptions</x:v>
      </x:c>
      <x:c r="B30" s="144"/>
      <x:c r="C30" s="144" t="str">
        <x:v>Counts access records requiring Modify, Remove, or Escalate action.</x:v>
      </x:c>
      <x:c r="D30" s="144"/>
      <x:c r="E30" s="144"/>
      <x:c r="F30" s="144"/>
    </x:row>
    <x:row r="31" ht="34" customHeight="1">
      <x:c r="A31" s="144" t="str">
        <x:v>Risk reduction</x:v>
      </x:c>
      <x:c r="B31" s="144"/>
      <x:c r="C31" s="144" t="str">
        <x:v>Compares total residual risk score with total inherent risk score.</x:v>
      </x:c>
      <x:c r="D31" s="144"/>
      <x:c r="E31" s="144"/>
      <x:c r="F31" s="144"/>
    </x:row>
    <x:row r="34">
      <x:c r="A34" s="202" t="str">
        <x:v>Portfolio disclaimer: all organizations, people, records, findings, and decisions are fictional. This workbook is an educational GRC and data-analytics artifact, not an audit opinion or production risk report.</x:v>
      </x:c>
      <x:c r="B34" s="202"/>
      <x:c r="C34" s="202"/>
      <x:c r="D34" s="202"/>
      <x:c r="E34" s="202"/>
      <x:c r="F34" s="202"/>
    </x:row>
    <x:row r="35">
      <x:c r="A35" s="202"/>
      <x:c r="B35" s="202"/>
      <x:c r="C35" s="202"/>
      <x:c r="D35" s="202"/>
      <x:c r="E35" s="202"/>
      <x:c r="F35" s="202"/>
    </x:row>
  </x:sheetData>
  <x:mergeCells>
    <x:mergeCell ref="A1:F1"/>
    <x:mergeCell ref="A2:F2"/>
    <x:mergeCell ref="A4:F4"/>
    <x:mergeCell ref="A5:F7"/>
    <x:mergeCell ref="A9:F9"/>
    <x:mergeCell ref="A10:B10"/>
    <x:mergeCell ref="C10:F10"/>
    <x:mergeCell ref="A11:B11"/>
    <x:mergeCell ref="C11:F11"/>
    <x:mergeCell ref="A12:B12"/>
    <x:mergeCell ref="C12:F12"/>
    <x:mergeCell ref="A13:B13"/>
    <x:mergeCell ref="C13:F13"/>
    <x:mergeCell ref="A14:B14"/>
    <x:mergeCell ref="C14:F14"/>
    <x:mergeCell ref="A15:B15"/>
    <x:mergeCell ref="C15:F15"/>
    <x:mergeCell ref="A18:F18"/>
    <x:mergeCell ref="A19:F23"/>
    <x:mergeCell ref="A25:F25"/>
    <x:mergeCell ref="A26:B26"/>
    <x:mergeCell ref="C26:F26"/>
    <x:mergeCell ref="A27:B27"/>
    <x:mergeCell ref="C27:F27"/>
    <x:mergeCell ref="A28:B28"/>
    <x:mergeCell ref="C28:F28"/>
    <x:mergeCell ref="A29:B29"/>
    <x:mergeCell ref="C29:F29"/>
    <x:mergeCell ref="A30:B30"/>
    <x:mergeCell ref="C30:F30"/>
    <x:mergeCell ref="A31:B31"/>
    <x:mergeCell ref="C31:F31"/>
    <x:mergeCell ref="A34:F35"/>
  </x:mergeCells>
  <x:pageMargins left="0.7" right="0.7" top="0.75" bottom="0.75" header="0.3" footer="0.3"/>
</x:worksheet>
</file>