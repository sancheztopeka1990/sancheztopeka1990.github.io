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df74716554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2bf213ec93b48af"/>
    <x:sheet xmlns:r="http://schemas.openxmlformats.org/officeDocument/2006/relationships" name="Metrics" sheetId="2" r:id="R911d8d8572f54634"/>
    <x:sheet xmlns:r="http://schemas.openxmlformats.org/officeDocument/2006/relationships" name="Risk Data" sheetId="3" r:id="R63dba513f2bc476d"/>
    <x:sheet xmlns:r="http://schemas.openxmlformats.org/officeDocument/2006/relationships" name="Control Data" sheetId="4" r:id="R3b459040fcb74061"/>
    <x:sheet xmlns:r="http://schemas.openxmlformats.org/officeDocument/2006/relationships" name="Vendor Data" sheetId="5" r:id="R985e198c39b648e2"/>
    <x:sheet xmlns:r="http://schemas.openxmlformats.org/officeDocument/2006/relationships" name="Access Data" sheetId="6" r:id="Ra1b0dffb56c24529"/>
    <x:sheet xmlns:r="http://schemas.openxmlformats.org/officeDocument/2006/relationships" name="Findings Data" sheetId="7" r:id="Rc2ac967731fb46eb"/>
    <x:sheet xmlns:r="http://schemas.openxmlformats.org/officeDocument/2006/relationships" name="Dashboard Guide" sheetId="8" r:id="R7bff48ccbb5f4f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.0"/>
  </x:numFmts>
  <x:fonts count="11">
    <x:font>
      <x:sz val="11"/>
      <x:name val="Carlito"/>
    </x:font>
    <x:font>
      <x:b/>
      <x:sz val="11"/>
      <x:color rgb="FFFFFFFF"/>
      <x:name val="Carlito"/>
    </x:font>
    <x:font>
      <x:i/>
      <x:sz val="11"/>
      <x:color rgb="FF354A5F"/>
      <x:name val="Carlito"/>
    </x:font>
    <x:font>
      <x:sz val="11"/>
      <x:color rgb="FF1F2937"/>
      <x:name val="Carlito"/>
    </x:font>
    <x:font>
      <x:b/>
      <x:sz val="11"/>
      <x:color rgb="FF16324F"/>
      <x:name val="Carlito"/>
    </x:font>
    <x:font>
      <x:i/>
      <x:sz val="11"/>
      <x:color rgb="FF667085"/>
      <x:name val="Carlito"/>
    </x:font>
    <x:font>
      <x:b/>
      <x:sz val="11"/>
      <x:color rgb="FF991B1B"/>
      <x:name val="Carlito"/>
    </x:font>
    <x:font>
      <x:b/>
      <x:sz val="11"/>
      <x:color rgb="FF854D0E"/>
      <x:name val="Carlito"/>
    </x:font>
    <x:font>
      <x:b/>
      <x:sz val="11"/>
      <x:color rgb="FF9A3412"/>
      <x:name val="Carlito"/>
    </x:font>
    <x:font>
      <x:b/>
      <x:sz val="11"/>
      <x:color rgb="FF166534"/>
      <x:name val="Carlito"/>
    </x:font>
    <x:font>
      <x:sz val="11"/>
      <x:color rgb="FF16324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0F7"/>
      </x:patternFill>
    </x:fill>
    <x:fill>
      <x:patternFill patternType="solid">
        <x:fgColor rgb="FF2F6690"/>
      </x:patternFill>
    </x:fill>
    <x:fill>
      <x:patternFill patternType="solid">
        <x:fgColor rgb="FFF8FAFC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FFEDD5"/>
      </x:patternFill>
    </x:fill>
    <x:fill>
      <x:patternFill patternType="solid">
        <x:fgColor rgb="FFDCFCE7"/>
      </x:patternFill>
    </x:fill>
    <x:fill>
      <x:patternFill patternType="solid">
        <x:fgColor rgb="FFF2F4F7"/>
      </x:patternFill>
    </x:fill>
  </x:fills>
  <x:borders count="14">
    <x:border/>
    <x:border>
      <x:left style="thin">
        <x:color rgb="FF244C6D"/>
      </x:left>
      <x:right style="thin">
        <x:color rgb="FF244C6D"/>
      </x:right>
      <x:top style="thin">
        <x:color rgb="FF244C6D"/>
      </x:top>
      <x:bottom style="thin">
        <x:color rgb="FF244C6D"/>
      </x:bottom>
    </x:border>
    <x:border>
      <x:bottom style="thin">
        <x:color rgb="FFD9E2EA"/>
      </x:bottom>
    </x:border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left style="thin">
        <x:color rgb="FFD9E2EA"/>
      </x:left>
      <x:top style="thin">
        <x:color rgb="FFD9E2EA"/>
      </x:top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</x:border>
    <x:border>
      <x:right style="thin">
        <x:color rgb="FFD9E2EA"/>
      </x:right>
    </x:border>
    <x:border>
      <x:left style="thin">
        <x:color rgb="FFD9E2EA"/>
      </x:left>
      <x:bottom style="thin">
        <x:color rgb="FFD9E2EA"/>
      </x:bottom>
    </x:border>
    <x:border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top style="thin">
        <x:color rgb="FFD9E2EA"/>
      </x:top>
    </x:border>
  </x:borders>
  <x:cellStyleXfs count="1">
    <x:xf numFmtId="0" fontId="0" fillId="0" borderId="0"/>
  </x:cellStyleXfs>
  <x:cellXfs count="2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2" xfId="0" applyNumberFormat="1" applyFont="1" applyFill="1" applyBorder="1" applyAlignment="1">
      <x:alignment horizontal="center"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2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5" xfId="0" applyNumberFormat="1" applyFont="1" applyFill="1" applyBorder="1" applyAlignment="1">
      <x:alignment horizontal="center"/>
    </x:xf>
    <x:xf numFmtId="0" fontId="4" fillId="3" borderId="6" xfId="0" applyNumberFormat="1" applyFont="1" applyFill="1" applyBorder="1" applyAlignment="1">
      <x:alignment horizontal="center"/>
    </x:xf>
    <x:xf numFmtId="0" fontId="4" fillId="3" borderId="7" xfId="0" applyNumberFormat="1" applyFont="1" applyFill="1" applyBorder="1" applyAlignment="1">
      <x:alignment horizontal="center"/>
    </x:xf>
    <x:xf numFmtId="0" fontId="4" fillId="3" borderId="8" xfId="0" applyNumberFormat="1" applyFont="1" applyFill="1" applyBorder="1" applyAlignment="1">
      <x:alignment horizontal="center"/>
    </x:xf>
    <x:xf numFmtId="0" fontId="4" fillId="3" borderId="9" xfId="0" applyNumberFormat="1" applyFont="1" applyFill="1" applyBorder="1" applyAlignment="1">
      <x:alignment horizontal="center"/>
    </x:xf>
    <x:xf numFmtId="0" fontId="4" fillId="3" borderId="10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4" fillId="3" borderId="7" xfId="0" applyNumberFormat="1" applyFont="1" applyFill="1" applyBorder="1" applyAlignment="1">
      <x:alignment horizontal="center" vertic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4" fillId="3" borderId="9" xfId="0" applyNumberFormat="1" applyFont="1" applyFill="1" applyBorder="1" applyAlignment="1">
      <x:alignment horizontal="center" vertical="center"/>
    </x:xf>
    <x:xf numFmtId="0" fontId="4" fillId="3" borderId="1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horizontal="center" wrapText="1"/>
    </x:xf>
    <x:xf numFmtId="0" fontId="5" fillId="5" borderId="12" xfId="0" applyNumberFormat="1" applyFont="1" applyFill="1" applyBorder="1" applyAlignment="1">
      <x:alignment horizont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5" fillId="5" borderId="1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5" xfId="0" applyNumberFormat="1" applyFont="1" applyFill="1" applyBorder="1" applyAlignment="1">
      <x:alignment horizontal="center"/>
    </x:xf>
    <x:xf numFmtId="0" fontId="6" fillId="6" borderId="6" xfId="0" applyNumberFormat="1" applyFont="1" applyFill="1" applyBorder="1" applyAlignment="1">
      <x:alignment horizontal="center"/>
    </x:xf>
    <x:xf numFmtId="0" fontId="6" fillId="6" borderId="7" xfId="0" applyNumberFormat="1" applyFont="1" applyFill="1" applyBorder="1" applyAlignment="1">
      <x:alignment horizontal="center"/>
    </x:xf>
    <x:xf numFmtId="0" fontId="6" fillId="6" borderId="8" xfId="0" applyNumberFormat="1" applyFont="1" applyFill="1" applyBorder="1" applyAlignment="1">
      <x:alignment horizontal="center"/>
    </x:xf>
    <x:xf numFmtId="0" fontId="6" fillId="6" borderId="9" xfId="0" applyNumberFormat="1" applyFont="1" applyFill="1" applyBorder="1" applyAlignment="1">
      <x:alignment horizontal="center"/>
    </x:xf>
    <x:xf numFmtId="0" fontId="6" fillId="6" borderId="10" xfId="0" applyNumberFormat="1" applyFont="1" applyFill="1" applyBorder="1" applyAlignment="1">
      <x:alignment horizontal="center"/>
    </x:xf>
    <x:xf numFmtId="0" fontId="6" fillId="6" borderId="5" xfId="0" applyNumberFormat="1" applyFont="1" applyFill="1" applyBorder="1" applyAlignment="1">
      <x:alignment horizontal="center" vertical="center"/>
    </x:xf>
    <x:xf numFmtId="0" fontId="6" fillId="6" borderId="6" xfId="0" applyNumberFormat="1" applyFont="1" applyFill="1" applyBorder="1" applyAlignment="1">
      <x:alignment horizontal="center" vertical="center"/>
    </x:xf>
    <x:xf numFmtId="0" fontId="6" fillId="6" borderId="7" xfId="0" applyNumberFormat="1" applyFont="1" applyFill="1" applyBorder="1" applyAlignment="1">
      <x:alignment horizontal="center" vertic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6" fillId="6" borderId="9" xfId="0" applyNumberFormat="1" applyFont="1" applyFill="1" applyBorder="1" applyAlignment="1">
      <x:alignment horizontal="center" vertical="center"/>
    </x:xf>
    <x:xf numFmtId="0" fontId="6" fillId="6" borderId="1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0" fontId="7" fillId="7" borderId="9" xfId="0" applyNumberFormat="1" applyFont="1" applyFill="1" applyBorder="1"/>
    <x:xf numFmtId="0" fontId="7" fillId="7" borderId="10" xfId="0" applyNumberFormat="1" applyFont="1" applyFill="1" applyBorder="1"/>
    <x:xf numFmtId="0" fontId="7" fillId="7" borderId="5" xfId="0" applyNumberFormat="1" applyFont="1" applyFill="1" applyBorder="1" applyAlignment="1">
      <x:alignment horizontal="center"/>
    </x:xf>
    <x:xf numFmtId="0" fontId="7" fillId="7" borderId="6" xfId="0" applyNumberFormat="1" applyFont="1" applyFill="1" applyBorder="1" applyAlignment="1">
      <x:alignment horizontal="center"/>
    </x:xf>
    <x:xf numFmtId="0" fontId="7" fillId="7" borderId="7" xfId="0" applyNumberFormat="1" applyFont="1" applyFill="1" applyBorder="1" applyAlignment="1">
      <x:alignment horizontal="center"/>
    </x:xf>
    <x:xf numFmtId="0" fontId="7" fillId="7" borderId="8" xfId="0" applyNumberFormat="1" applyFont="1" applyFill="1" applyBorder="1" applyAlignment="1">
      <x:alignment horizontal="center"/>
    </x:xf>
    <x:xf numFmtId="0" fontId="7" fillId="7" borderId="9" xfId="0" applyNumberFormat="1" applyFont="1" applyFill="1" applyBorder="1" applyAlignment="1">
      <x:alignment horizontal="center"/>
    </x:xf>
    <x:xf numFmtId="0" fontId="7" fillId="7" borderId="10" xfId="0" applyNumberFormat="1" applyFont="1" applyFill="1" applyBorder="1" applyAlignment="1">
      <x:alignment horizontal="center"/>
    </x:xf>
    <x:xf numFmtId="0" fontId="7" fillId="7" borderId="5" xfId="0" applyNumberFormat="1" applyFont="1" applyFill="1" applyBorder="1" applyAlignment="1">
      <x:alignment horizontal="center" vertical="center"/>
    </x:xf>
    <x:xf numFmtId="0" fontId="7" fillId="7" borderId="6" xfId="0" applyNumberFormat="1" applyFont="1" applyFill="1" applyBorder="1" applyAlignment="1">
      <x:alignment horizontal="center" vertical="center"/>
    </x:xf>
    <x:xf numFmtId="0" fontId="7" fillId="7" borderId="7" xfId="0" applyNumberFormat="1" applyFont="1" applyFill="1" applyBorder="1" applyAlignment="1">
      <x:alignment horizontal="center" vertical="center"/>
    </x:xf>
    <x:xf numFmtId="0" fontId="7" fillId="7" borderId="8" xfId="0" applyNumberFormat="1" applyFont="1" applyFill="1" applyBorder="1" applyAlignment="1">
      <x:alignment horizontal="center" vertical="center"/>
    </x:xf>
    <x:xf numFmtId="0" fontId="7" fillId="7" borderId="9" xfId="0" applyNumberFormat="1" applyFont="1" applyFill="1" applyBorder="1" applyAlignment="1">
      <x:alignment horizontal="center" vertical="center"/>
    </x:xf>
    <x:xf numFmtId="0" fontId="7" fillId="7" borderId="1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9" xfId="0" applyNumberFormat="1" applyFont="1" applyFill="1" applyBorder="1"/>
    <x:xf numFmtId="0" fontId="8" fillId="8" borderId="10" xfId="0" applyNumberFormat="1" applyFont="1" applyFill="1" applyBorder="1"/>
    <x:xf numFmtId="0" fontId="8" fillId="8" borderId="5" xfId="0" applyNumberFormat="1" applyFont="1" applyFill="1" applyBorder="1" applyAlignment="1">
      <x:alignment horizontal="center"/>
    </x:xf>
    <x:xf numFmtId="0" fontId="8" fillId="8" borderId="6" xfId="0" applyNumberFormat="1" applyFont="1" applyFill="1" applyBorder="1" applyAlignment="1">
      <x:alignment horizontal="center"/>
    </x:xf>
    <x:xf numFmtId="0" fontId="8" fillId="8" borderId="7" xfId="0" applyNumberFormat="1" applyFont="1" applyFill="1" applyBorder="1" applyAlignment="1">
      <x:alignment horizontal="center"/>
    </x:xf>
    <x:xf numFmtId="0" fontId="8" fillId="8" borderId="8" xfId="0" applyNumberFormat="1" applyFont="1" applyFill="1" applyBorder="1" applyAlignment="1">
      <x:alignment horizontal="center"/>
    </x:xf>
    <x:xf numFmtId="0" fontId="8" fillId="8" borderId="9" xfId="0" applyNumberFormat="1" applyFont="1" applyFill="1" applyBorder="1" applyAlignment="1">
      <x:alignment horizontal="center"/>
    </x:xf>
    <x:xf numFmtId="0" fontId="8" fillId="8" borderId="10" xfId="0" applyNumberFormat="1" applyFont="1" applyFill="1" applyBorder="1" applyAlignment="1">
      <x:alignment horizontal="center"/>
    </x:xf>
    <x:xf numFmtId="0" fontId="8" fillId="8" borderId="5" xfId="0" applyNumberFormat="1" applyFont="1" applyFill="1" applyBorder="1" applyAlignment="1">
      <x:alignment horizontal="center" vertical="center"/>
    </x:xf>
    <x:xf numFmtId="0" fontId="8" fillId="8" borderId="6" xfId="0" applyNumberFormat="1" applyFont="1" applyFill="1" applyBorder="1" applyAlignment="1">
      <x:alignment horizontal="center" vertical="center"/>
    </x:xf>
    <x:xf numFmtId="0" fontId="8" fillId="8" borderId="7" xfId="0" applyNumberFormat="1" applyFont="1" applyFill="1" applyBorder="1" applyAlignment="1">
      <x:alignment horizontal="center" vertical="center"/>
    </x:xf>
    <x:xf numFmtId="0" fontId="8" fillId="8" borderId="8" xfId="0" applyNumberFormat="1" applyFont="1" applyFill="1" applyBorder="1" applyAlignment="1">
      <x:alignment horizontal="center" vertical="center"/>
    </x:xf>
    <x:xf numFmtId="0" fontId="8" fillId="8" borderId="9" xfId="0" applyNumberFormat="1" applyFont="1" applyFill="1" applyBorder="1" applyAlignment="1">
      <x:alignment horizontal="center" vertical="center"/>
    </x:xf>
    <x:xf numFmtId="0" fontId="8" fillId="8" borderId="1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5" xfId="0" applyNumberFormat="1" applyFont="1" applyFill="1" applyBorder="1"/>
    <x:xf numFmtId="0" fontId="9" fillId="9" borderId="6" xfId="0" applyNumberFormat="1" applyFont="1" applyFill="1" applyBorder="1"/>
    <x:xf numFmtId="0" fontId="9" fillId="9" borderId="7" xfId="0" applyNumberFormat="1" applyFont="1" applyFill="1" applyBorder="1"/>
    <x:xf numFmtId="0" fontId="9" fillId="9" borderId="8" xfId="0" applyNumberFormat="1" applyFont="1" applyFill="1" applyBorder="1"/>
    <x:xf numFmtId="0" fontId="9" fillId="9" borderId="9" xfId="0" applyNumberFormat="1" applyFont="1" applyFill="1" applyBorder="1"/>
    <x:xf numFmtId="0" fontId="9" fillId="9" borderId="10" xfId="0" applyNumberFormat="1" applyFont="1" applyFill="1" applyBorder="1"/>
    <x:xf numFmtId="0" fontId="9" fillId="9" borderId="5" xfId="0" applyNumberFormat="1" applyFont="1" applyFill="1" applyBorder="1" applyAlignment="1">
      <x:alignment horizontal="center"/>
    </x:xf>
    <x:xf numFmtId="0" fontId="9" fillId="9" borderId="6" xfId="0" applyNumberFormat="1" applyFont="1" applyFill="1" applyBorder="1" applyAlignment="1">
      <x:alignment horizontal="center"/>
    </x:xf>
    <x:xf numFmtId="0" fontId="9" fillId="9" borderId="7" xfId="0" applyNumberFormat="1" applyFont="1" applyFill="1" applyBorder="1" applyAlignment="1">
      <x:alignment horizontal="center"/>
    </x:xf>
    <x:xf numFmtId="0" fontId="9" fillId="9" borderId="8" xfId="0" applyNumberFormat="1" applyFont="1" applyFill="1" applyBorder="1" applyAlignment="1">
      <x:alignment horizontal="center"/>
    </x:xf>
    <x:xf numFmtId="0" fontId="9" fillId="9" borderId="9" xfId="0" applyNumberFormat="1" applyFont="1" applyFill="1" applyBorder="1" applyAlignment="1">
      <x:alignment horizontal="center"/>
    </x:xf>
    <x:xf numFmtId="0" fontId="9" fillId="9" borderId="10" xfId="0" applyNumberFormat="1" applyFont="1" applyFill="1" applyBorder="1" applyAlignment="1">
      <x:alignment horizontal="center"/>
    </x:xf>
    <x:xf numFmtId="0" fontId="9" fillId="9" borderId="5" xfId="0" applyNumberFormat="1" applyFont="1" applyFill="1" applyBorder="1" applyAlignment="1">
      <x:alignment horizontal="center" vertical="center"/>
    </x:xf>
    <x:xf numFmtId="0" fontId="9" fillId="9" borderId="6" xfId="0" applyNumberFormat="1" applyFont="1" applyFill="1" applyBorder="1" applyAlignment="1">
      <x:alignment horizontal="center" vertical="center"/>
    </x:xf>
    <x:xf numFmtId="0" fontId="9" fillId="9" borderId="7" xfId="0" applyNumberFormat="1" applyFont="1" applyFill="1" applyBorder="1" applyAlignment="1">
      <x:alignment horizontal="center" vertical="center"/>
    </x:xf>
    <x:xf numFmtId="0" fontId="9" fillId="9" borderId="8" xfId="0" applyNumberFormat="1" applyFont="1" applyFill="1" applyBorder="1" applyAlignment="1">
      <x:alignment horizontal="center" vertical="center"/>
    </x:xf>
    <x:xf numFmtId="0" fontId="9" fillId="9" borderId="9" xfId="0" applyNumberFormat="1" applyFont="1" applyFill="1" applyBorder="1" applyAlignment="1">
      <x:alignment horizontal="center" vertical="center"/>
    </x:xf>
    <x:xf numFmtId="0" fontId="9" fillId="9" borderId="10" xfId="0" applyNumberFormat="1" applyFont="1" applyFill="1" applyBorder="1" applyAlignment="1">
      <x:alignment horizontal="center" vertical="center"/>
    </x:xf>
    <x:xf numFmtId="201" fontId="7" fillId="7" borderId="5" xfId="0" applyNumberFormat="1" applyFont="1" applyFill="1" applyBorder="1" applyAlignment="1">
      <x:alignment horizontal="center" vertical="center"/>
    </x:xf>
    <x:xf numFmtId="201" fontId="9" fillId="9" borderId="5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5" xfId="0" applyNumberFormat="1" applyFont="1" applyFill="1" applyBorder="1"/>
    <x:xf numFmtId="0" fontId="10" fillId="3" borderId="13" xfId="0" applyNumberFormat="1" applyFont="1" applyFill="1" applyBorder="1"/>
    <x:xf numFmtId="0" fontId="10" fillId="3" borderId="6" xfId="0" applyNumberFormat="1" applyFont="1" applyFill="1" applyBorder="1"/>
    <x:xf numFmtId="0" fontId="10" fillId="3" borderId="9" xfId="0" applyNumberFormat="1" applyFont="1" applyFill="1" applyBorder="1"/>
    <x:xf numFmtId="0" fontId="10" fillId="3" borderId="2" xfId="0" applyNumberFormat="1" applyFont="1" applyFill="1" applyBorder="1"/>
    <x:xf numFmtId="0" fontId="10" fillId="3" borderId="10" xfId="0" applyNumberFormat="1" applyFont="1" applyFill="1" applyBorder="1"/>
    <x:xf numFmtId="0" fontId="10" fillId="3" borderId="5" xfId="0" applyNumberFormat="1" applyFont="1" applyFill="1" applyBorder="1" applyAlignment="1">
      <x:alignment wrapText="1"/>
    </x:xf>
    <x:xf numFmtId="0" fontId="10" fillId="3" borderId="13" xfId="0" applyNumberFormat="1" applyFont="1" applyFill="1" applyBorder="1" applyAlignment="1">
      <x:alignment wrapText="1"/>
    </x:xf>
    <x:xf numFmtId="0" fontId="10" fillId="3" borderId="6" xfId="0" applyNumberFormat="1" applyFont="1" applyFill="1" applyBorder="1" applyAlignment="1">
      <x:alignment wrapText="1"/>
    </x:xf>
    <x:xf numFmtId="0" fontId="10" fillId="3" borderId="9" xfId="0" applyNumberFormat="1" applyFont="1" applyFill="1" applyBorder="1" applyAlignment="1">
      <x:alignment wrapText="1"/>
    </x:xf>
    <x:xf numFmtId="0" fontId="10" fillId="3" borderId="2" xfId="0" applyNumberFormat="1" applyFont="1" applyFill="1" applyBorder="1" applyAlignment="1">
      <x:alignment wrapText="1"/>
    </x:xf>
    <x:xf numFmtId="0" fontId="10" fillId="3" borderId="10" xfId="0" applyNumberFormat="1" applyFont="1" applyFill="1" applyBorder="1" applyAlignment="1">
      <x:alignment wrapText="1"/>
    </x:xf>
    <x:xf numFmtId="0" fontId="10" fillId="3" borderId="5" xfId="0" applyNumberFormat="1" applyFont="1" applyFill="1" applyBorder="1" applyAlignment="1">
      <x:alignment vertical="center" wrapText="1"/>
    </x:xf>
    <x:xf numFmtId="0" fontId="10" fillId="3" borderId="13" xfId="0" applyNumberFormat="1" applyFont="1" applyFill="1" applyBorder="1" applyAlignment="1">
      <x:alignment vertical="center" wrapText="1"/>
    </x:xf>
    <x:xf numFmtId="0" fontId="10" fillId="3" borderId="6" xfId="0" applyNumberFormat="1" applyFont="1" applyFill="1" applyBorder="1" applyAlignment="1">
      <x:alignment vertical="center" wrapText="1"/>
    </x:xf>
    <x:xf numFmtId="0" fontId="10" fillId="3" borderId="9" xfId="0" applyNumberFormat="1" applyFont="1" applyFill="1" applyBorder="1" applyAlignment="1">
      <x:alignment vertical="center" wrapText="1"/>
    </x:xf>
    <x:xf numFmtId="0" fontId="10" fillId="3" borderId="2" xfId="0" applyNumberFormat="1" applyFont="1" applyFill="1" applyBorder="1" applyAlignment="1">
      <x:alignment vertical="center" wrapText="1"/>
    </x:xf>
    <x:xf numFmtId="0" fontId="10" fillId="3" borderId="1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/>
    <x:xf numFmtId="0" fontId="3" fillId="5" borderId="5" xfId="0" applyNumberFormat="1" applyFont="1" applyFill="1" applyBorder="1"/>
    <x:xf numFmtId="0" fontId="3" fillId="5" borderId="13" xfId="0" applyNumberFormat="1" applyFont="1" applyFill="1" applyBorder="1"/>
    <x:xf numFmtId="0" fontId="3" fillId="5" borderId="6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0" fontId="3" fillId="5" borderId="2" xfId="0" applyNumberFormat="1" applyFont="1" applyFill="1" applyBorder="1"/>
    <x:xf numFmtId="0" fontId="3" fillId="5" borderId="10" xfId="0" applyNumberFormat="1" applyFont="1" applyFill="1" applyBorder="1"/>
    <x:xf numFmtId="0" fontId="3" fillId="5" borderId="5" xfId="0" applyNumberFormat="1" applyFont="1" applyFill="1" applyBorder="1" applyAlignment="1">
      <x:alignment wrapText="1"/>
    </x:xf>
    <x:xf numFmtId="0" fontId="3" fillId="5" borderId="13" xfId="0" applyNumberFormat="1" applyFont="1" applyFill="1" applyBorder="1" applyAlignment="1">
      <x:alignment wrapText="1"/>
    </x:xf>
    <x:xf numFmtId="0" fontId="3" fillId="5" borderId="6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10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13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3" fillId="5" borderId="7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8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10" xfId="0" applyNumberFormat="1" applyFont="1" applyFill="1" applyBorder="1" applyAlignment="1">
      <x:alignment vertical="center" wrapText="1"/>
    </x:xf>
    <x:xf numFmtId="0" fontId="10" fillId="3" borderId="7" xfId="0" applyNumberFormat="1" applyFont="1" applyFill="1" applyBorder="1"/>
    <x:xf numFmtId="0" fontId="10" fillId="3" borderId="8" xfId="0" applyNumberFormat="1" applyFont="1" applyFill="1" applyBorder="1"/>
    <x:xf numFmtId="0" fontId="10" fillId="3" borderId="7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wrapText="1"/>
    </x:xf>
    <x:xf numFmtId="0" fontId="10" fillId="3" borderId="8" xfId="0" applyNumberFormat="1" applyFont="1" applyFill="1" applyBorder="1" applyAlignment="1">
      <x:alignment wrapText="1"/>
    </x:xf>
    <x:xf numFmtId="0" fontId="10" fillId="3" borderId="7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vertical="center" wrapText="1"/>
    </x:xf>
    <x:xf numFmtId="0" fontId="10" fillId="3" borderId="8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4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color rgb="FF854D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color rgb="FF854D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color rgb="FF854D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color rgb="FF854D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color rgb="FF854D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color rgb="FF854D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color rgb="FF854D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color rgb="FF854D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color rgb="FF854D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color rgb="FF854D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color rgb="FF854D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color rgb="FF854D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b7c8df2f2e46f3" /><Relationship Type="http://schemas.openxmlformats.org/officeDocument/2006/relationships/theme" Target="/xl/theme/theme1.xml" Id="R971ca9b34ab64581" /><Relationship Type="http://schemas.openxmlformats.org/officeDocument/2006/relationships/sharedStrings" Target="/xl/sharedStrings.xml" Id="Rdbee8967729349aa" /><Relationship Type="http://schemas.openxmlformats.org/officeDocument/2006/relationships/worksheet" Target="/xl/worksheets/sheet1.xml" Id="R12bf213ec93b48af" /><Relationship Type="http://schemas.openxmlformats.org/officeDocument/2006/relationships/worksheet" Target="/xl/worksheets/sheet2.xml" Id="R911d8d8572f54634" /><Relationship Type="http://schemas.openxmlformats.org/officeDocument/2006/relationships/worksheet" Target="/xl/worksheets/sheet3.xml" Id="R63dba513f2bc476d" /><Relationship Type="http://schemas.openxmlformats.org/officeDocument/2006/relationships/worksheet" Target="/xl/worksheets/sheet4.xml" Id="R3b459040fcb74061" /><Relationship Type="http://schemas.openxmlformats.org/officeDocument/2006/relationships/worksheet" Target="/xl/worksheets/sheet5.xml" Id="R985e198c39b648e2" /><Relationship Type="http://schemas.openxmlformats.org/officeDocument/2006/relationships/worksheet" Target="/xl/worksheets/sheet6.xml" Id="Ra1b0dffb56c24529" /><Relationship Type="http://schemas.openxmlformats.org/officeDocument/2006/relationships/worksheet" Target="/xl/worksheets/sheet7.xml" Id="Rc2ac967731fb46eb" /><Relationship Type="http://schemas.openxmlformats.org/officeDocument/2006/relationships/worksheet" Target="/xl/worksheets/sheet8.xml" Id="R7bff48ccbb5f4f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339e20969e4e00" /><Relationship Type="http://schemas.openxmlformats.org/officeDocument/2006/relationships/chart" Target="/xl/drawings/charts/chart2.xml" Id="R6b461288313b470a" /><Relationship Type="http://schemas.openxmlformats.org/officeDocument/2006/relationships/chart" Target="/xl/drawings/charts/chart3.xml" Id="R9f5e027c94b54d1b" /><Relationship Type="http://schemas.openxmlformats.org/officeDocument/2006/relationships/chart" Target="/xl/drawings/charts/chart4.xml" Id="R0fc83871140341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Residual Risk Concentration (Count)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Risks</c:v>
          </c:tx>
          <c:cat>
            <c:strRef>
              <c:f>'Metrics'!$A$15:$A$18</c:f>
              <c:strCache>
                <c:ptCount val="0"/>
              </c:strCache>
            </c:strRef>
          </c:cat>
          <c:val>
            <c:numRef>
              <c:f>'Metrics'!$B$15:$B$18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NIST CSF Maturity by Function (%)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Maturity</c:v>
          </c:tx>
          <c:cat>
            <c:strRef>
              <c:f>'Metrics'!$D$15:$D$20</c:f>
              <c:strCache>
                <c:ptCount val="0"/>
              </c:strCache>
            </c:strRef>
          </c:cat>
          <c:val>
            <c:numRef>
              <c:f>'Metrics'!$E$15:$E$20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Quarterly Access Decisions (Records)</a:t>
            </a:r>
          </a:p>
        </c:rich>
      </c:tx>
      <c:overlay val="0"/>
    </c:title>
    <c:plotArea>
      <c:doughnutChart>
        <c:ser>
          <c:idx val="0"/>
          <c:order val="0"/>
          <c:tx>
            <c:v>Records</c:v>
          </c:tx>
          <c:cat>
            <c:strRef>
              <c:f>'Metrics'!$G$15:$G$18</c:f>
              <c:strCache>
                <c:ptCount val="0"/>
              </c:strCache>
            </c:strRef>
          </c:cat>
          <c:val>
            <c:numRef>
              <c:f>'Metrics'!$H$15:$H$18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Material Findings by Source (Count)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Critical</c:v>
          </c:tx>
          <c:cat>
            <c:strRef>
              <c:f>'Metrics'!$J$15:$J$16</c:f>
              <c:strCache>
                <c:ptCount val="0"/>
              </c:strCache>
            </c:strRef>
          </c:cat>
          <c:val>
            <c:numRef>
              <c:f>'Metrics'!$K$15:$K$16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High</c:v>
          </c:tx>
          <c:cat>
            <c:strRef>
              <c:f>'Metrics'!$J$15:$J$16</c:f>
              <c:strCache>
                <c:ptCount val="0"/>
              </c:strCache>
            </c:strRef>
          </c:cat>
          <c:val>
            <c:numRef>
              <c:f>'Metrics'!$L$15:$L$16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7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339e20969e4e00"/>
        </a:graphicData>
      </a:graphic>
    </xdr:graphicFrame>
    <xdr:clientData/>
  </xdr:twoCellAnchor>
  <xdr:twoCellAnchor>
    <xdr:from>
      <xdr:col>7</xdr:col>
      <xdr:colOff>0</xdr:colOff>
      <xdr:row>12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461288313b470a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7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5e027c94b54d1b"/>
        </a:graphicData>
      </a:graphic>
    </xdr:graphicFrame>
    <xdr:clientData/>
  </xdr:twoCellAnchor>
  <xdr:twoCellAnchor>
    <xdr:from>
      <xdr:col>7</xdr:col>
      <xdr:colOff>0</xdr:colOff>
      <xdr:row>28</xdr:row>
      <xdr:rowOff>0</xdr:rowOff>
    </xdr:from>
    <xdr:to>
      <xdr:col>14</xdr:col>
      <xdr:colOff>0</xdr:colOff>
      <xdr:row>43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c838711403416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shboardRiskData" displayName="DashboardRiskData" ref="A4:Q19" headerRowCount="1" totalsRowCount="0" totalsRowShown="0">
  <x:autoFilter ref="A4:Q19"/>
  <x:tableColumns count="17">
    <x:tableColumn id="1" name="Risk ID"/>
    <x:tableColumn id="2" name="Category"/>
    <x:tableColumn id="3" name="Risk Statement"/>
    <x:tableColumn id="4" name="Inherent Likelihood"/>
    <x:tableColumn id="5" name="Inherent Impact"/>
    <x:tableColumn id="6" name="Inherent Score"/>
    <x:tableColumn id="7" name="Inherent Rating"/>
    <x:tableColumn id="8" name="Residual Likelihood"/>
    <x:tableColumn id="9" name="Residual Impact"/>
    <x:tableColumn id="10" name="Residual Score"/>
    <x:tableColumn id="11" name="Residual Rating"/>
    <x:tableColumn id="12" name="Owner"/>
    <x:tableColumn id="13" name="Status"/>
    <x:tableColumn id="14" name="Target Date"/>
    <x:tableColumn id="15" name="Treatment"/>
    <x:tableColumn id="16" name="Recommended Actions"/>
    <x:tableColumn id="17" name="Risk Redu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shboardControlData" displayName="DashboardControlData" ref="A4:J26" headerRowCount="1" totalsRowCount="0" totalsRowShown="0">
  <x:autoFilter ref="A4:J26"/>
  <x:tableColumns count="10">
    <x:tableColumn id="1" name="CSF ID"/>
    <x:tableColumn id="2" name="Function"/>
    <x:tableColumn id="3" name="Category"/>
    <x:tableColumn id="4" name="Expected Outcome"/>
    <x:tableColumn id="5" name="Current Status"/>
    <x:tableColumn id="6" name="Gap Identified"/>
    <x:tableColumn id="7" name="Recommended Action"/>
    <x:tableColumn id="8" name="Control Owner"/>
    <x:tableColumn id="9" name="Priority"/>
    <x:tableColumn id="10" name="Related Risk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shboardVendorData" displayName="DashboardVendorData" ref="A4:M29" headerRowCount="1" totalsRowCount="0" totalsRowShown="0">
  <x:autoFilter ref="A4:M29"/>
  <x:tableColumns count="13">
    <x:tableColumn id="1" name="Question ID"/>
    <x:tableColumn id="2" name="Domain"/>
    <x:tableColumn id="3" name="Control Question"/>
    <x:tableColumn id="4" name="Weight"/>
    <x:tableColumn id="5" name="Response"/>
    <x:tableColumn id="6" name="Evidence Quality"/>
    <x:tableColumn id="7" name="Response Score"/>
    <x:tableColumn id="8" name="Weighted Points"/>
    <x:tableColumn id="9" name="Maximum Points"/>
    <x:tableColumn id="10" name="Control Score"/>
    <x:tableColumn id="11" name="Risk Flag"/>
    <x:tableColumn id="12" name="Owner"/>
    <x:tableColumn id="13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shboardAccessData" displayName="DashboardAccessData" ref="A4:O32" headerRowCount="1" totalsRowCount="0" totalsRowShown="0">
  <x:autoFilter ref="A4:O32"/>
  <x:tableColumns count="15">
    <x:tableColumn id="1" name="Record ID"/>
    <x:tableColumn id="2" name="Name / Account"/>
    <x:tableColumn id="3" name="Account Type"/>
    <x:tableColumn id="4" name="Department"/>
    <x:tableColumn id="5" name="Employment Status"/>
    <x:tableColumn id="6" name="System"/>
    <x:tableColumn id="7" name="Privilege Level"/>
    <x:tableColumn id="8" name="Data Access"/>
    <x:tableColumn id="9" name="MFA"/>
    <x:tableColumn id="10" name="Current Need?"/>
    <x:tableColumn id="11" name="Reviewer Decision"/>
    <x:tableColumn id="12" name="Exception?"/>
    <x:tableColumn id="13" name="Action Owner"/>
    <x:tableColumn id="14" name="Due Date"/>
    <x:tableColumn id="15" name="Remediation 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shboardFindingsData" displayName="DashboardFindingsData" ref="A4:N18" headerRowCount="1" totalsRowCount="0" totalsRowShown="0">
  <x:autoFilter ref="A4:N18"/>
  <x:tableColumns count="14">
    <x:tableColumn id="1" name="Source"/>
    <x:tableColumn id="2" name="Finding ID"/>
    <x:tableColumn id="3" name="Domain"/>
    <x:tableColumn id="4" name="Finding"/>
    <x:tableColumn id="5" name="Likelihood"/>
    <x:tableColumn id="6" name="Impact"/>
    <x:tableColumn id="7" name="Risk Score"/>
    <x:tableColumn id="8" name="Rating"/>
    <x:tableColumn id="9" name="Owner"/>
    <x:tableColumn id="10" name="Target Date"/>
    <x:tableColumn id="11" name="Status"/>
    <x:tableColumn id="12" name="Residual Score"/>
    <x:tableColumn id="13" name="Residual Rating"/>
    <x:tableColumn id="14" name="Corrective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9db00453d884f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610b99e3d2843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dd2c9157b2f42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9af5b672cf740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5ae9d703ae54e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e87cef8db7d47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2" customHeight="1">
      <x:c r="A1" s="3" t="str">
        <x:v>Trainory | GRC Analytics Dashboard</x:v>
      </x:c>
      <x:c r="B1" s="3" t="str">
        <x:v>Trainory | GRC Analytics Dashboard</x:v>
      </x:c>
      <x:c r="C1" s="3" t="str">
        <x:v>Trainory | GRC Analytics Dashboard</x:v>
      </x:c>
      <x:c r="D1" s="3" t="str">
        <x:v>Trainory | GRC Analytics Dashboard</x:v>
      </x:c>
      <x:c r="E1" s="3" t="str">
        <x:v>Trainory | GRC Analytics Dashboard</x:v>
      </x:c>
      <x:c r="F1" s="3" t="str">
        <x:v>Trainory | GRC Analytics Dashboard</x:v>
      </x:c>
      <x:c r="G1" s="3" t="str">
        <x:v>Trainory | GRC Analytics Dashboard</x:v>
      </x:c>
      <x:c r="H1" s="3" t="str">
        <x:v>Trainory | GRC Analytics Dashboard</x:v>
      </x:c>
      <x:c r="I1" s="3" t="str">
        <x:v>Trainory | GRC Analytics Dashboard</x:v>
      </x:c>
      <x:c r="J1" s="3" t="str">
        <x:v>Trainory | GRC Analytics Dashboard</x:v>
      </x:c>
      <x:c r="K1" s="3" t="str">
        <x:v>Trainory | GRC Analytics Dashboard</x:v>
      </x:c>
      <x:c r="L1" s="3" t="str">
        <x:v>Trainory | GRC Analytics Dashboard</x:v>
      </x:c>
      <x:c r="M1" s="3" t="str">
        <x:v>Trainory | GRC Analytics Dashboard</x:v>
      </x:c>
      <x:c r="N1" s="3" t="str">
        <x:v>Trainory | GRC Analytics Dashboard</x:v>
      </x:c>
    </x:row>
    <x:row r="2" ht="24" customHeight="1">
      <x:c r="A2" s="6" t="str">
        <x:v>Executive view of risk, control maturity, vendor assurance, and access governance</x:v>
      </x:c>
      <x:c r="B2" s="6" t="str">
        <x:v>Executive view of risk, control maturity, vendor assurance, and access governance</x:v>
      </x:c>
      <x:c r="C2" s="6" t="str">
        <x:v>Executive view of risk, control maturity, vendor assurance, and access governance</x:v>
      </x:c>
      <x:c r="D2" s="6" t="str">
        <x:v>Executive view of risk, control maturity, vendor assurance, and access governance</x:v>
      </x:c>
      <x:c r="E2" s="6" t="str">
        <x:v>Executive view of risk, control maturity, vendor assurance, and access governance</x:v>
      </x:c>
      <x:c r="F2" s="6" t="str">
        <x:v>Executive view of risk, control maturity, vendor assurance, and access governance</x:v>
      </x:c>
      <x:c r="G2" s="6" t="str">
        <x:v>Executive view of risk, control maturity, vendor assurance, and access governance</x:v>
      </x:c>
      <x:c r="H2" s="6" t="str">
        <x:v>Executive view of risk, control maturity, vendor assurance, and access governance</x:v>
      </x:c>
      <x:c r="I2" s="6" t="str">
        <x:v>Executive view of risk, control maturity, vendor assurance, and access governance</x:v>
      </x:c>
      <x:c r="J2" s="6" t="str">
        <x:v>Executive view of risk, control maturity, vendor assurance, and access governance</x:v>
      </x:c>
      <x:c r="K2" s="6" t="str">
        <x:v>Executive view of risk, control maturity, vendor assurance, and access governance</x:v>
      </x:c>
      <x:c r="L2" s="6" t="str">
        <x:v>Executive view of risk, control maturity, vendor assurance, and access governance</x:v>
      </x:c>
      <x:c r="M2" s="6" t="str">
        <x:v>Executive view of risk, control maturity, vendor assurance, and access governance</x:v>
      </x:c>
      <x:c r="N2" s="6" t="str">
        <x:v>Executive view of risk, control maturity, vendor assurance, and access governance</x:v>
      </x:c>
    </x:row>
    <x:row r="4">
      <x:c r="A4" s="26" t="str">
        <x:v>EXECUTIVE SNAPSHOT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</x:row>
    <x:row r="5">
      <x:c r="A5" s="31" t="str">
        <x:v>Total Risks</x:v>
      </x:c>
      <x:c r="B5" s="32"/>
      <x:c r="C5" s="31" t="str">
        <x:v>High/Critical Residual</x:v>
      </x:c>
      <x:c r="D5" s="32"/>
      <x:c r="E5" s="31" t="str">
        <x:v>CSF Maturity</x:v>
      </x:c>
      <x:c r="F5" s="32"/>
      <x:c r="G5" s="31" t="str">
        <x:v>Vendor Control Score</x:v>
      </x:c>
      <x:c r="H5" s="32"/>
      <x:c r="I5" s="31" t="str">
        <x:v>Open Findings</x:v>
      </x:c>
      <x:c r="J5" s="32"/>
      <x:c r="K5" s="31" t="str">
        <x:v>Access Exceptions</x:v>
      </x:c>
      <x:c r="L5" s="32"/>
      <x:c r="M5" s="31" t="str">
        <x:v>Risk Reduction</x:v>
      </x:c>
      <x:c r="N5" s="32"/>
    </x:row>
    <x:row r="6">
      <x:c r="A6" s="46" t="n">
        <x:f>'Metrics'!B5</x:f>
        <x:v>15</x:v>
      </x:c>
      <x:c r="B6" s="47"/>
      <x:c r="C6" s="76" t="n">
        <x:f>'Metrics'!B6</x:f>
        <x:v>11</x:v>
      </x:c>
      <x:c r="D6" s="77"/>
      <x:c r="E6" s="142" t="n">
        <x:f>'Metrics'!B9</x:f>
        <x:v>0.5</x:v>
      </x:c>
      <x:c r="F6" s="97"/>
      <x:c r="G6" s="142" t="n">
        <x:f>'Metrics'!E5</x:f>
        <x:v>0.6982758620689655</x:v>
      </x:c>
      <x:c r="H6" s="97"/>
      <x:c r="I6" s="116" t="n">
        <x:f>'Metrics'!B10</x:f>
        <x:v>14</x:v>
      </x:c>
      <x:c r="J6" s="117"/>
      <x:c r="K6" s="76" t="n">
        <x:f>'Metrics'!B11</x:f>
        <x:v>11</x:v>
      </x:c>
      <x:c r="L6" s="77"/>
      <x:c r="M6" s="143" t="n">
        <x:f>'Metrics'!B8</x:f>
        <x:v>0.27753303964757714</x:v>
      </x:c>
      <x:c r="N6" s="137"/>
    </x:row>
    <x:row r="7">
      <x:c r="A7" s="48"/>
      <x:c r="B7" s="49"/>
      <x:c r="C7" s="78"/>
      <x:c r="D7" s="79"/>
      <x:c r="E7" s="98"/>
      <x:c r="F7" s="99"/>
      <x:c r="G7" s="98"/>
      <x:c r="H7" s="99"/>
      <x:c r="I7" s="118"/>
      <x:c r="J7" s="119"/>
      <x:c r="K7" s="78"/>
      <x:c r="L7" s="79"/>
      <x:c r="M7" s="138"/>
      <x:c r="N7" s="139"/>
    </x:row>
    <x:row r="8">
      <x:c r="A8" s="50"/>
      <x:c r="B8" s="51"/>
      <x:c r="C8" s="80"/>
      <x:c r="D8" s="81"/>
      <x:c r="E8" s="100"/>
      <x:c r="F8" s="101"/>
      <x:c r="G8" s="100"/>
      <x:c r="H8" s="101"/>
      <x:c r="I8" s="120"/>
      <x:c r="J8" s="121"/>
      <x:c r="K8" s="80"/>
      <x:c r="L8" s="81"/>
      <x:c r="M8" s="140"/>
      <x:c r="N8" s="141"/>
    </x:row>
    <x:row r="9">
      <x:c r="A9" s="60" t="str">
        <x:v>Risk register population</x:v>
      </x:c>
      <x:c r="B9" s="61"/>
      <x:c r="C9" s="60" t="str">
        <x:v>Requires treatment or monitoring</x:v>
      </x:c>
      <x:c r="D9" s="61"/>
      <x:c r="E9" s="60" t="str">
        <x:v>Weighted implementation score</x:v>
      </x:c>
      <x:c r="F9" s="61"/>
      <x:c r="G9" s="60" t="str">
        <x:v>VitaSync conditional approval</x:v>
      </x:c>
      <x:c r="H9" s="61"/>
      <x:c r="I9" s="60" t="str">
        <x:v>Vendor and access findings</x:v>
      </x:c>
      <x:c r="J9" s="61"/>
      <x:c r="K9" s="60" t="str">
        <x:v>Modify, remove, or escalate</x:v>
      </x:c>
      <x:c r="L9" s="61"/>
      <x:c r="M9" s="60" t="str">
        <x:v>Existing-control improvement</x:v>
      </x:c>
      <x:c r="N9" s="61"/>
    </x:row>
    <x:row r="12">
      <x:c r="A12" s="8" t="str">
        <x:v>RISK AND CONTROL ANALYTICS</x:v>
      </x:c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</x:row>
    <x:row r="45">
      <x:c r="A45" s="8" t="str">
        <x:v>TOP REMEDIATION PRIORITIES</x:v>
      </x:c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</x:row>
    <x:row r="46" ht="34" customHeight="1">
      <x:c r="A46" s="12" t="str">
        <x:v>Finding ID</x:v>
      </x:c>
      <x:c r="B46" s="12"/>
      <x:c r="C46" s="12" t="str">
        <x:v>Source</x:v>
      </x:c>
      <x:c r="D46" s="12"/>
      <x:c r="E46" s="12" t="str">
        <x:v>Finding</x:v>
      </x:c>
      <x:c r="F46" s="12"/>
      <x:c r="G46" s="12"/>
      <x:c r="H46" s="12"/>
      <x:c r="I46" s="12"/>
      <x:c r="J46" s="12" t="str">
        <x:v>Rating</x:v>
      </x:c>
      <x:c r="K46" s="12"/>
      <x:c r="L46" s="12" t="str">
        <x:v>Owner</x:v>
      </x:c>
      <x:c r="M46" s="12"/>
      <x:c r="N46" s="12" t="str">
        <x:v>Status</x:v>
      </x:c>
    </x:row>
    <x:row r="47" ht="36" customHeight="1">
      <x:c r="A47" s="144" t="str">
        <x:f>'Findings Data'!B11</x:f>
        <x:v>ARF-01</x:v>
      </x:c>
      <x:c r="B47" s="144"/>
      <x:c r="C47" s="144" t="str">
        <x:f>'Findings Data'!A11</x:f>
        <x:v>Access Review</x:v>
      </x:c>
      <x:c r="D47" s="144"/>
      <x:c r="E47" s="144" t="str">
        <x:f>'Findings Data'!D11</x:f>
        <x:v>Terminated contractor retained AWS access after the contract ended.</x:v>
      </x:c>
      <x:c r="F47" s="144"/>
      <x:c r="G47" s="144"/>
      <x:c r="H47" s="144"/>
      <x:c r="I47" s="144"/>
      <x:c r="J47" s="144" t="str">
        <x:f>'Findings Data'!H11</x:f>
        <x:v>Critical</x:v>
      </x:c>
      <x:c r="K47" s="144"/>
      <x:c r="L47" s="144" t="str">
        <x:f>'Findings Data'!I11</x:f>
        <x:v>Cybersecurity / IT</x:v>
      </x:c>
      <x:c r="M47" s="144"/>
      <x:c r="N47" s="144" t="str">
        <x:f>'Findings Data'!K11</x:f>
        <x:v>Open</x:v>
      </x:c>
    </x:row>
    <x:row r="48" ht="36" customHeight="1">
      <x:c r="A48" s="144" t="str">
        <x:f>'Findings Data'!B12</x:f>
        <x:v>ARF-02</x:v>
      </x:c>
      <x:c r="B48" s="144"/>
      <x:c r="C48" s="144" t="str">
        <x:f>'Findings Data'!A12</x:f>
        <x:v>Access Review</x:v>
      </x:c>
      <x:c r="D48" s="144"/>
      <x:c r="E48" s="144" t="str">
        <x:f>'Findings Data'!D12</x:f>
        <x:v>Developer retained broad production administration and direct customer-database access.</x:v>
      </x:c>
      <x:c r="F48" s="144"/>
      <x:c r="G48" s="144"/>
      <x:c r="H48" s="144"/>
      <x:c r="I48" s="144"/>
      <x:c r="J48" s="144" t="str">
        <x:f>'Findings Data'!H12</x:f>
        <x:v>Critical</x:v>
      </x:c>
      <x:c r="K48" s="144"/>
      <x:c r="L48" s="144" t="str">
        <x:f>'Findings Data'!I12</x:f>
        <x:v>Cloud Engineering</x:v>
      </x:c>
      <x:c r="M48" s="144"/>
      <x:c r="N48" s="144" t="str">
        <x:f>'Findings Data'!K12</x:f>
        <x:v>Open</x:v>
      </x:c>
    </x:row>
    <x:row r="49" ht="36" customHeight="1">
      <x:c r="A49" s="144" t="str">
        <x:f>'Findings Data'!B17</x:f>
        <x:v>ARF-07</x:v>
      </x:c>
      <x:c r="B49" s="144"/>
      <x:c r="C49" s="144" t="str">
        <x:f>'Findings Data'!A17</x:f>
        <x:v>Access Review</x:v>
      </x:c>
      <x:c r="D49" s="144"/>
      <x:c r="E49" s="144" t="str">
        <x:f>'Findings Data'!D17</x:f>
        <x:v>Privileged wearable API service account did not have a documented owner.</x:v>
      </x:c>
      <x:c r="F49" s="144"/>
      <x:c r="G49" s="144"/>
      <x:c r="H49" s="144"/>
      <x:c r="I49" s="144"/>
      <x:c r="J49" s="144" t="str">
        <x:f>'Findings Data'!H17</x:f>
        <x:v>Critical</x:v>
      </x:c>
      <x:c r="K49" s="144"/>
      <x:c r="L49" s="144" t="str">
        <x:f>'Findings Data'!I17</x:f>
        <x:v>Software Development</x:v>
      </x:c>
      <x:c r="M49" s="144"/>
      <x:c r="N49" s="144" t="str">
        <x:f>'Findings Data'!K17</x:f>
        <x:v>Open</x:v>
      </x:c>
    </x:row>
    <x:row r="50" ht="36" customHeight="1">
      <x:c r="A50" s="144" t="str">
        <x:f>'Findings Data'!B7</x:f>
        <x:v>VRF-03</x:v>
      </x:c>
      <x:c r="B50" s="144"/>
      <x:c r="C50" s="144" t="str">
        <x:f>'Findings Data'!A7</x:f>
        <x:v>Vendor Risk</x:v>
      </x:c>
      <x:c r="D50" s="144"/>
      <x:c r="E50" s="144" t="str">
        <x:f>'Findings Data'!D7</x:f>
        <x:v>Incident notice is drafted as 72 hours after vendor confirmation.</x:v>
      </x:c>
      <x:c r="F50" s="144"/>
      <x:c r="G50" s="144"/>
      <x:c r="H50" s="144"/>
      <x:c r="I50" s="144"/>
      <x:c r="J50" s="144" t="str">
        <x:f>'Findings Data'!H7</x:f>
        <x:v>Critical</x:v>
      </x:c>
      <x:c r="K50" s="144"/>
      <x:c r="L50" s="144" t="str">
        <x:f>'Findings Data'!I7</x:f>
        <x:v>Privacy / Legal</x:v>
      </x:c>
      <x:c r="M50" s="144"/>
      <x:c r="N50" s="144" t="str">
        <x:f>'Findings Data'!K7</x:f>
        <x:v>Open</x:v>
      </x:c>
    </x:row>
    <x:row r="51" ht="36" customHeight="1">
      <x:c r="A51" s="144" t="str">
        <x:f>'Findings Data'!B8</x:f>
        <x:v>VRF-04</x:v>
      </x:c>
      <x:c r="B51" s="144"/>
      <x:c r="C51" s="144" t="str">
        <x:f>'Findings Data'!A8</x:f>
        <x:v>Vendor Risk</x:v>
      </x:c>
      <x:c r="D51" s="144"/>
      <x:c r="E51" s="144" t="str">
        <x:f>'Findings Data'!D8</x:f>
        <x:v>No current disaster-recovery test evidence was provided.</x:v>
      </x:c>
      <x:c r="F51" s="144"/>
      <x:c r="G51" s="144"/>
      <x:c r="H51" s="144"/>
      <x:c r="I51" s="144"/>
      <x:c r="J51" s="144" t="str">
        <x:f>'Findings Data'!H8</x:f>
        <x:v>Critical</x:v>
      </x:c>
      <x:c r="K51" s="144"/>
      <x:c r="L51" s="144" t="str">
        <x:f>'Findings Data'!I8</x:f>
        <x:v>Vendor Management</x:v>
      </x:c>
      <x:c r="M51" s="144"/>
      <x:c r="N51" s="144" t="str">
        <x:f>'Findings Data'!K8</x:f>
        <x:v>Open</x:v>
      </x:c>
    </x:row>
    <x:row r="52" ht="36" customHeight="1">
      <x:c r="A52" s="144" t="str">
        <x:f>'Findings Data'!B9</x:f>
        <x:v>VRF-05</x:v>
      </x:c>
      <x:c r="B52" s="144"/>
      <x:c r="C52" s="144" t="str">
        <x:f>'Findings Data'!A9</x:f>
        <x:v>Vendor Risk</x:v>
      </x:c>
      <x:c r="D52" s="144"/>
      <x:c r="E52" s="144" t="str">
        <x:f>'Findings Data'!D9</x:f>
        <x:v>Retention, backup deletion, and deletion confirmation are not defined.</x:v>
      </x:c>
      <x:c r="F52" s="144"/>
      <x:c r="G52" s="144"/>
      <x:c r="H52" s="144"/>
      <x:c r="I52" s="144"/>
      <x:c r="J52" s="144" t="str">
        <x:f>'Findings Data'!H9</x:f>
        <x:v>Critical</x:v>
      </x:c>
      <x:c r="K52" s="144"/>
      <x:c r="L52" s="144" t="str">
        <x:f>'Findings Data'!I9</x:f>
        <x:v>Privacy / Legal</x:v>
      </x:c>
      <x:c r="M52" s="144"/>
      <x:c r="N52" s="144" t="str">
        <x:f>'Findings Data'!K9</x:f>
        <x:v>In Progress</x:v>
      </x:c>
    </x:row>
    <x:row r="55">
      <x:c r="A55" s="158" t="str">
        <x:v>Leadership takeaway: risk remains concentrated in identity and access, cloud/application security, resilience, and privacy. The immediate priorities are to remove inappropriate access, validate recovery capability, strengthen vendor contract and deletion terms, and close high-impact findings with retained evidence.</x:v>
      </x:c>
      <x:c r="B55" s="159"/>
      <x:c r="C55" s="159"/>
      <x:c r="D55" s="159"/>
      <x:c r="E55" s="159"/>
      <x:c r="F55" s="159"/>
      <x:c r="G55" s="159"/>
      <x:c r="H55" s="159"/>
      <x:c r="I55" s="159"/>
      <x:c r="J55" s="159"/>
      <x:c r="K55" s="159"/>
      <x:c r="L55" s="159"/>
      <x:c r="M55" s="159"/>
      <x:c r="N55" s="160"/>
    </x:row>
    <x:row r="56">
      <x:c r="A56" s="161"/>
      <x:c r="B56" s="162"/>
      <x:c r="C56" s="162"/>
      <x:c r="D56" s="162"/>
      <x:c r="E56" s="162"/>
      <x:c r="F56" s="162"/>
      <x:c r="G56" s="162"/>
      <x:c r="H56" s="162"/>
      <x:c r="I56" s="162"/>
      <x:c r="J56" s="162"/>
      <x:c r="K56" s="162"/>
      <x:c r="L56" s="162"/>
      <x:c r="M56" s="162"/>
      <x:c r="N56" s="163"/>
    </x:row>
    <x:row r="58">
      <x:c r="A58" s="166" t="str">
        <x:v>Case study note: Trainory, VitaSync, all records, metrics, findings, and decisions are fictional. Dashboard calculations update when supporting data tabs are edited.</x:v>
      </x:c>
      <x:c r="B58" s="166" t="str">
        <x:v>Case study note: Trainory, VitaSync, all records, metrics, findings, and decisions are fictional. Dashboard calculations update when supporting data tabs are edited.</x:v>
      </x:c>
      <x:c r="C58" s="166" t="str">
        <x:v>Case study note: Trainory, VitaSync, all records, metrics, findings, and decisions are fictional. Dashboard calculations update when supporting data tabs are edited.</x:v>
      </x:c>
      <x:c r="D58" s="166" t="str">
        <x:v>Case study note: Trainory, VitaSync, all records, metrics, findings, and decisions are fictional. Dashboard calculations update when supporting data tabs are edited.</x:v>
      </x:c>
      <x:c r="E58" s="166" t="str">
        <x:v>Case study note: Trainory, VitaSync, all records, metrics, findings, and decisions are fictional. Dashboard calculations update when supporting data tabs are edited.</x:v>
      </x:c>
      <x:c r="F58" s="166" t="str">
        <x:v>Case study note: Trainory, VitaSync, all records, metrics, findings, and decisions are fictional. Dashboard calculations update when supporting data tabs are edited.</x:v>
      </x:c>
      <x:c r="G58" s="166" t="str">
        <x:v>Case study note: Trainory, VitaSync, all records, metrics, findings, and decisions are fictional. Dashboard calculations update when supporting data tabs are edited.</x:v>
      </x:c>
      <x:c r="H58" s="166" t="str">
        <x:v>Case study note: Trainory, VitaSync, all records, metrics, findings, and decisions are fictional. Dashboard calculations update when supporting data tabs are edited.</x:v>
      </x:c>
      <x:c r="I58" s="166" t="str">
        <x:v>Case study note: Trainory, VitaSync, all records, metrics, findings, and decisions are fictional. Dashboard calculations update when supporting data tabs are edited.</x:v>
      </x:c>
      <x:c r="J58" s="166" t="str">
        <x:v>Case study note: Trainory, VitaSync, all records, metrics, findings, and decisions are fictional. Dashboard calculations update when supporting data tabs are edited.</x:v>
      </x:c>
      <x:c r="K58" s="166" t="str">
        <x:v>Case study note: Trainory, VitaSync, all records, metrics, findings, and decisions are fictional. Dashboard calculations update when supporting data tabs are edited.</x:v>
      </x:c>
      <x:c r="L58" s="166" t="str">
        <x:v>Case study note: Trainory, VitaSync, all records, metrics, findings, and decisions are fictional. Dashboard calculations update when supporting data tabs are edited.</x:v>
      </x:c>
      <x:c r="M58" s="166" t="str">
        <x:v>Case study note: Trainory, VitaSync, all records, metrics, findings, and decisions are fictional. Dashboard calculations update when supporting data tabs are edited.</x:v>
      </x:c>
      <x:c r="N58" s="166" t="str">
        <x:v>Case study note: Trainory, VitaSync, all records, metrics, findings, and decisions are fictional. Dashboard calculations update when supporting data tabs are edited.</x:v>
      </x:c>
    </x:row>
  </x:sheetData>
  <x:mergeCells>
    <x:mergeCell ref="A1:N1"/>
    <x:mergeCell ref="A2:N2"/>
    <x:mergeCell ref="A4:N4"/>
    <x:mergeCell ref="A5:B5"/>
    <x:mergeCell ref="A6:B8"/>
    <x:mergeCell ref="A9:B9"/>
    <x:mergeCell ref="C5:D5"/>
    <x:mergeCell ref="C6:D8"/>
    <x:mergeCell ref="C9:D9"/>
    <x:mergeCell ref="E5:F5"/>
    <x:mergeCell ref="E6:F8"/>
    <x:mergeCell ref="E9:F9"/>
    <x:mergeCell ref="G5:H5"/>
    <x:mergeCell ref="G6:H8"/>
    <x:mergeCell ref="G9:H9"/>
    <x:mergeCell ref="I5:J5"/>
    <x:mergeCell ref="I6:J8"/>
    <x:mergeCell ref="I9:J9"/>
    <x:mergeCell ref="K5:L5"/>
    <x:mergeCell ref="K6:L8"/>
    <x:mergeCell ref="K9:L9"/>
    <x:mergeCell ref="M5:N5"/>
    <x:mergeCell ref="M6:N8"/>
    <x:mergeCell ref="M9:N9"/>
    <x:mergeCell ref="A12:N12"/>
    <x:mergeCell ref="A45:N45"/>
    <x:mergeCell ref="A46:B46"/>
    <x:mergeCell ref="C46:D46"/>
    <x:mergeCell ref="E46:I46"/>
    <x:mergeCell ref="J46:K46"/>
    <x:mergeCell ref="L46:M46"/>
    <x:mergeCell ref="A47:B47"/>
    <x:mergeCell ref="C47:D47"/>
    <x:mergeCell ref="E47:I47"/>
    <x:mergeCell ref="J47:K47"/>
    <x:mergeCell ref="L47:M47"/>
    <x:mergeCell ref="A48:B48"/>
    <x:mergeCell ref="C48:D48"/>
    <x:mergeCell ref="E48:I48"/>
    <x:mergeCell ref="J48:K48"/>
    <x:mergeCell ref="L48:M48"/>
    <x:mergeCell ref="A49:B49"/>
    <x:mergeCell ref="C49:D49"/>
    <x:mergeCell ref="E49:I49"/>
    <x:mergeCell ref="J49:K49"/>
    <x:mergeCell ref="L49:M49"/>
    <x:mergeCell ref="A50:B50"/>
    <x:mergeCell ref="C50:D50"/>
    <x:mergeCell ref="E50:I50"/>
    <x:mergeCell ref="J50:K50"/>
    <x:mergeCell ref="L50:M50"/>
    <x:mergeCell ref="A51:B51"/>
    <x:mergeCell ref="C51:D51"/>
    <x:mergeCell ref="E51:I51"/>
    <x:mergeCell ref="J51:K51"/>
    <x:mergeCell ref="L51:M51"/>
    <x:mergeCell ref="A52:B52"/>
    <x:mergeCell ref="C52:D52"/>
    <x:mergeCell ref="E52:I52"/>
    <x:mergeCell ref="J52:K52"/>
    <x:mergeCell ref="L52:M52"/>
    <x:mergeCell ref="A55:N56"/>
    <x:mergeCell ref="A58:N58"/>
  </x:mergeCells>
  <x:conditionalFormatting sqref="J47:K52">
    <x:cfRule type="containsText" dxfId="72" priority="1" operator="containsText" text="Critical"/>
    <x:cfRule type="containsText" dxfId="73" priority="2" operator="containsText" text="High"/>
  </x:conditionalFormatting>
  <x:pageMargins left="0.7" right="0.7" top="0.75" bottom="0.75" header="0.3" footer="0.3"/>
  <x:drawing xmlns:r="http://schemas.openxmlformats.org/officeDocument/2006/relationships" r:id="Re9db00453d884f3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4" hidden="0" customWidth="1"/>
    <x:col min="4" max="4" width="25" hidden="0" customWidth="1"/>
    <x:col min="5" max="5" width="18" hidden="0" customWidth="1"/>
    <x:col min="6" max="6" width="4" hidden="0" customWidth="1"/>
    <x:col min="7" max="7" width="20" hidden="0" customWidth="1"/>
    <x:col min="8" max="8" width="14" hidden="0" customWidth="1"/>
    <x:col min="9" max="9" width="4" hidden="0" customWidth="1"/>
    <x:col min="10" max="10" width="20" hidden="0" customWidth="1"/>
    <x:col min="11" max="11" width="14" hidden="0" customWidth="1"/>
    <x:col min="12" max="12" width="14" hidden="0" customWidth="1"/>
  </x:cols>
  <x:sheetData>
    <x:row r="1" ht="32" customHeight="1">
      <x:c r="A1" s="3" t="str">
        <x:v>Trainory | Dashboard Metrics</x:v>
      </x:c>
      <x:c r="B1" s="3" t="str">
        <x:v>Trainory | Dashboard Metrics</x:v>
      </x:c>
      <x:c r="C1" s="3" t="str">
        <x:v>Trainory | Dashboard Metrics</x:v>
      </x:c>
      <x:c r="D1" s="3" t="str">
        <x:v>Trainory | Dashboard Metrics</x:v>
      </x:c>
      <x:c r="E1" s="3" t="str">
        <x:v>Trainory | Dashboard Metrics</x:v>
      </x:c>
      <x:c r="F1" s="3" t="str">
        <x:v>Trainory | Dashboard Metrics</x:v>
      </x:c>
      <x:c r="G1" s="3" t="str">
        <x:v>Trainory | Dashboard Metrics</x:v>
      </x:c>
      <x:c r="H1" s="3" t="str">
        <x:v>Trainory | Dashboard Metrics</x:v>
      </x:c>
      <x:c r="I1" s="3" t="str">
        <x:v>Trainory | Dashboard Metrics</x:v>
      </x:c>
      <x:c r="J1" s="3" t="str">
        <x:v>Trainory | Dashboard Metrics</x:v>
      </x:c>
      <x:c r="K1" s="3" t="str">
        <x:v>Trainory | Dashboard Metrics</x:v>
      </x:c>
      <x:c r="L1" s="3" t="str">
        <x:v>Trainory | Dashboard Metrics</x:v>
      </x:c>
    </x:row>
    <x:row r="2" ht="24" customHeight="1">
      <x:c r="A2" s="6" t="str">
        <x:v>Visible calculation layer supporting the executive dashboard</x:v>
      </x:c>
      <x:c r="B2" s="6" t="str">
        <x:v>Visible calculation layer supporting the executive dashboard</x:v>
      </x:c>
      <x:c r="C2" s="6" t="str">
        <x:v>Visible calculation layer supporting the executive dashboard</x:v>
      </x:c>
      <x:c r="D2" s="6" t="str">
        <x:v>Visible calculation layer supporting the executive dashboard</x:v>
      </x:c>
      <x:c r="E2" s="6" t="str">
        <x:v>Visible calculation layer supporting the executive dashboard</x:v>
      </x:c>
      <x:c r="F2" s="6" t="str">
        <x:v>Visible calculation layer supporting the executive dashboard</x:v>
      </x:c>
      <x:c r="G2" s="6" t="str">
        <x:v>Visible calculation layer supporting the executive dashboard</x:v>
      </x:c>
      <x:c r="H2" s="6" t="str">
        <x:v>Visible calculation layer supporting the executive dashboard</x:v>
      </x:c>
      <x:c r="I2" s="6" t="str">
        <x:v>Visible calculation layer supporting the executive dashboard</x:v>
      </x:c>
      <x:c r="J2" s="6" t="str">
        <x:v>Visible calculation layer supporting the executive dashboard</x:v>
      </x:c>
      <x:c r="K2" s="6" t="str">
        <x:v>Visible calculation layer supporting the executive dashboard</x:v>
      </x:c>
      <x:c r="L2" s="6" t="str">
        <x:v>Visible calculation layer supporting the executive dashboard</x:v>
      </x:c>
    </x:row>
    <x:row r="4" ht="34" customHeight="1">
      <x:c r="A4" s="12" t="str">
        <x:v>KPI</x:v>
      </x:c>
      <x:c r="B4" s="12" t="str">
        <x:v>Calculated Value</x:v>
      </x:c>
      <x:c r="D4" s="12" t="str">
        <x:v>Vendor KPI</x:v>
      </x:c>
      <x:c r="E4" s="12" t="str">
        <x:v>Calculated Value</x:v>
      </x:c>
    </x:row>
    <x:row r="5">
      <x:c r="A5" s="17" t="str">
        <x:v>Total risks</x:v>
      </x:c>
      <x:c r="B5" s="17" t="n">
        <x:f>COUNTA('Risk Data'!$A$5:$A$19)</x:f>
        <x:v>15</x:v>
      </x:c>
      <x:c r="D5" s="17" t="str">
        <x:v>VitaSync overall control score</x:v>
      </x:c>
      <x:c r="E5" s="23" t="n">
        <x:f>SUM('Vendor Data'!$H$5:$H$29)/SUM('Vendor Data'!$I$5:$I$29)</x:f>
        <x:v>0.6982758620689655</x:v>
      </x:c>
    </x:row>
    <x:row r="6">
      <x:c r="A6" s="17" t="str">
        <x:v>High / Critical residual risks</x:v>
      </x:c>
      <x:c r="B6" s="17" t="n">
        <x:f>COUNTIF('Risk Data'!$K$5:$K$19,"High")+COUNTIF('Risk Data'!$K$5:$K$19,"Critical")</x:f>
        <x:v>11</x:v>
      </x:c>
      <x:c r="D6" s="17" t="str">
        <x:v>High-risk control gaps</x:v>
      </x:c>
      <x:c r="E6" s="17" t="n">
        <x:f>COUNTIF('Vendor Data'!$K$5:$K$29,"High")</x:f>
        <x:v>9</x:v>
      </x:c>
    </x:row>
    <x:row r="7">
      <x:c r="A7" s="17" t="str">
        <x:v>Average residual risk score</x:v>
      </x:c>
      <x:c r="B7" s="25" t="n">
        <x:f>AVERAGE('Risk Data'!$J$5:$J$19)</x:f>
        <x:v>10.933333333333334</x:v>
      </x:c>
      <x:c r="D7" s="18" t="str">
        <x:v>Evidence gaps</x:v>
      </x:c>
      <x:c r="E7" s="18" t="n">
        <x:f>COUNTIF('Vendor Data'!$F$5:$F$29,"Weak")+COUNTIF('Vendor Data'!$F$5:$F$29,"None")</x:f>
        <x:v>5</x:v>
      </x:c>
    </x:row>
    <x:row r="8">
      <x:c r="A8" s="17" t="str">
        <x:v>Modeled risk reduction</x:v>
      </x:c>
      <x:c r="B8" s="23" t="n">
        <x:f>1-(SUM('Risk Data'!$J$5:$J$19)/SUM('Risk Data'!$F$5:$F$19))</x:f>
        <x:v>0.27753303964757714</x:v>
      </x:c>
    </x:row>
    <x:row r="9">
      <x:c r="A9" s="17" t="str">
        <x:v>NIST CSF maturity score</x:v>
      </x:c>
      <x:c r="B9" s="23" t="n">
        <x:f>(COUNTIF('Control Data'!$E$5:$E$26,"Implemented")+0.5*COUNTIF('Control Data'!$E$5:$E$26,"Partial"))/COUNTA('Control Data'!$A$5:$A$26)</x:f>
        <x:v>0.5</x:v>
      </x:c>
    </x:row>
    <x:row r="10">
      <x:c r="A10" s="17" t="str">
        <x:v>Open / In Progress findings</x:v>
      </x:c>
      <x:c r="B10" s="17" t="n">
        <x:f>COUNTIF('Findings Data'!$K$5:$K$18,"Open")+COUNTIF('Findings Data'!$K$5:$K$18,"In Progress")</x:f>
        <x:v>14</x:v>
      </x:c>
    </x:row>
    <x:row r="11">
      <x:c r="A11" s="18" t="str">
        <x:v>Access exceptions</x:v>
      </x:c>
      <x:c r="B11" s="18" t="n">
        <x:f>COUNTIF('Access Data'!$L$5:$L$32,"Yes")</x:f>
        <x:v>11</x:v>
      </x:c>
    </x:row>
    <x:row r="14" ht="34" customHeight="1">
      <x:c r="A14" s="12" t="str">
        <x:v>Residual Rating</x:v>
      </x:c>
      <x:c r="B14" s="12" t="str">
        <x:v>Risks</x:v>
      </x:c>
      <x:c r="D14" s="12" t="str">
        <x:v>CSF Function</x:v>
      </x:c>
      <x:c r="E14" s="12" t="str">
        <x:v>Maturity</x:v>
      </x:c>
      <x:c r="G14" s="12" t="str">
        <x:v>Access Decision</x:v>
      </x:c>
      <x:c r="H14" s="12" t="str">
        <x:v>Records</x:v>
      </x:c>
      <x:c r="J14" s="12" t="str">
        <x:v>Finding Source</x:v>
      </x:c>
      <x:c r="K14" s="12" t="str">
        <x:v>Critical</x:v>
      </x:c>
      <x:c r="L14" s="12" t="str">
        <x:v>High</x:v>
      </x:c>
    </x:row>
    <x:row r="15">
      <x:c r="A15" s="17" t="str">
        <x:v>Critical</x:v>
      </x:c>
      <x:c r="B15" s="17" t="n">
        <x:f>COUNTIF('Risk Data'!$K$5:$K$19,A15)</x:f>
        <x:v>0</x:v>
      </x:c>
      <x:c r="D15" s="17" t="str">
        <x:v>Govern</x:v>
      </x:c>
      <x:c r="E15" s="23" t="n">
        <x:f>(COUNTIFS('Control Data'!$B$5:$B$26,D15,'Control Data'!$E$5:$E$26,"Implemented")+0.5*COUNTIFS('Control Data'!$B$5:$B$26,D15,'Control Data'!$E$5:$E$26,"Partial"))/COUNTIF('Control Data'!$B$5:$B$26,D15)</x:f>
        <x:v>0.4</x:v>
      </x:c>
      <x:c r="G15" s="17" t="str">
        <x:v>Retain</x:v>
      </x:c>
      <x:c r="H15" s="17" t="n">
        <x:f>COUNTIF('Access Data'!$K$5:$K$32,G15)</x:f>
        <x:v>17</x:v>
      </x:c>
      <x:c r="J15" s="17" t="str">
        <x:v>Access Review</x:v>
      </x:c>
      <x:c r="K15" s="17" t="n">
        <x:f>COUNTIFS('Findings Data'!$A$5:$A$18,J15,'Findings Data'!$H$5:$H$18,K$14)</x:f>
        <x:v>4</x:v>
      </x:c>
      <x:c r="L15" s="17" t="n">
        <x:f>COUNTIFS('Findings Data'!$A$5:$A$18,J15,'Findings Data'!$H$5:$H$18,L$14)</x:f>
        <x:v>4</x:v>
      </x:c>
    </x:row>
    <x:row r="16">
      <x:c r="A16" s="17" t="str">
        <x:v>High</x:v>
      </x:c>
      <x:c r="B16" s="17" t="n">
        <x:f>COUNTIF('Risk Data'!$K$5:$K$19,A16)</x:f>
        <x:v>11</x:v>
      </x:c>
      <x:c r="D16" s="17" t="str">
        <x:v>Identify</x:v>
      </x:c>
      <x:c r="E16" s="23" t="n">
        <x:f>(COUNTIFS('Control Data'!$B$5:$B$26,D16,'Control Data'!$E$5:$E$26,"Implemented")+0.5*COUNTIFS('Control Data'!$B$5:$B$26,D16,'Control Data'!$E$5:$E$26,"Partial"))/COUNTIF('Control Data'!$B$5:$B$26,D16)</x:f>
        <x:v>0.7142857142857143</x:v>
      </x:c>
      <x:c r="G16" s="17" t="str">
        <x:v>Modify</x:v>
      </x:c>
      <x:c r="H16" s="17" t="n">
        <x:f>COUNTIF('Access Data'!$K$5:$K$32,G16)</x:f>
        <x:v>3</x:v>
      </x:c>
      <x:c r="J16" s="18" t="str">
        <x:v>Vendor Risk</x:v>
      </x:c>
      <x:c r="K16" s="18" t="n">
        <x:f>COUNTIFS('Findings Data'!$A$5:$A$18,J16,'Findings Data'!$H$5:$H$18,K$14)</x:f>
        <x:v>3</x:v>
      </x:c>
      <x:c r="L16" s="18" t="n">
        <x:f>COUNTIFS('Findings Data'!$A$5:$A$18,J16,'Findings Data'!$H$5:$H$18,L$14)</x:f>
        <x:v>3</x:v>
      </x:c>
    </x:row>
    <x:row r="17">
      <x:c r="A17" s="17" t="str">
        <x:v>Moderate</x:v>
      </x:c>
      <x:c r="B17" s="17" t="n">
        <x:f>COUNTIF('Risk Data'!$K$5:$K$19,A17)</x:f>
        <x:v>4</x:v>
      </x:c>
      <x:c r="D17" s="17" t="str">
        <x:v>Protect</x:v>
      </x:c>
      <x:c r="E17" s="23" t="n">
        <x:f>(COUNTIFS('Control Data'!$B$5:$B$26,D17,'Control Data'!$E$5:$E$26,"Implemented")+0.5*COUNTIFS('Control Data'!$B$5:$B$26,D17,'Control Data'!$E$5:$E$26,"Partial"))/COUNTIF('Control Data'!$B$5:$B$26,D17)</x:f>
        <x:v>0.42857142857142855</x:v>
      </x:c>
      <x:c r="G17" s="17" t="str">
        <x:v>Remove</x:v>
      </x:c>
      <x:c r="H17" s="17" t="n">
        <x:f>COUNTIF('Access Data'!$K$5:$K$32,G17)</x:f>
        <x:v>5</x:v>
      </x:c>
    </x:row>
    <x:row r="18">
      <x:c r="A18" s="18" t="str">
        <x:v>Low</x:v>
      </x:c>
      <x:c r="B18" s="18" t="n">
        <x:f>COUNTIF('Risk Data'!$K$5:$K$19,A18)</x:f>
        <x:v>0</x:v>
      </x:c>
      <x:c r="D18" s="17" t="str">
        <x:v>Detect</x:v>
      </x:c>
      <x:c r="E18" s="23" t="n">
        <x:f>(COUNTIFS('Control Data'!$B$5:$B$26,D18,'Control Data'!$E$5:$E$26,"Implemented")+0.5*COUNTIFS('Control Data'!$B$5:$B$26,D18,'Control Data'!$E$5:$E$26,"Partial"))/COUNTIF('Control Data'!$B$5:$B$26,D18)</x:f>
        <x:v>0.5</x:v>
      </x:c>
      <x:c r="G18" s="18" t="str">
        <x:v>Escalate</x:v>
      </x:c>
      <x:c r="H18" s="18" t="n">
        <x:f>COUNTIF('Access Data'!$K$5:$K$32,G18)</x:f>
        <x:v>3</x:v>
      </x:c>
    </x:row>
    <x:row r="19">
      <x:c r="D19" s="17" t="str">
        <x:v>Respond</x:v>
      </x:c>
      <x:c r="E19" s="23" t="n">
        <x:f>(COUNTIFS('Control Data'!$B$5:$B$26,D19,'Control Data'!$E$5:$E$26,"Implemented")+0.5*COUNTIFS('Control Data'!$B$5:$B$26,D19,'Control Data'!$E$5:$E$26,"Partial"))/COUNTIF('Control Data'!$B$5:$B$26,D19)</x:f>
        <x:v>0</x:v>
      </x:c>
    </x:row>
    <x:row r="20">
      <x:c r="D20" s="18" t="str">
        <x:v>Recover</x:v>
      </x:c>
      <x:c r="E20" s="24" t="n">
        <x:f>(COUNTIFS('Control Data'!$B$5:$B$26,D20,'Control Data'!$E$5:$E$26,"Implemented")+0.5*COUNTIFS('Control Data'!$B$5:$B$26,D20,'Control Data'!$E$5:$E$26,"Partial"))/COUNTIF('Control Data'!$B$5:$B$26,D20)</x:f>
        <x:v>0.5</x:v>
      </x:c>
    </x:row>
    <x:row r="23" ht="34" customHeight="1">
      <x:c r="A23" s="12" t="str">
        <x:v>Vendor Domain</x:v>
      </x:c>
      <x:c r="B23" s="12" t="str">
        <x:v>Control Score</x:v>
      </x:c>
    </x:row>
    <x:row r="24">
      <x:c r="A24" s="17" t="str">
        <x:v>Governance</x:v>
      </x:c>
      <x:c r="B24" s="23" t="n">
        <x:f>SUMIF('Vendor Data'!$B$5:$B$29,A24,'Vendor Data'!$H$5:$H$29)/SUMIF('Vendor Data'!$B$5:$B$29,A24,'Vendor Data'!$I$5:$I$29)</x:f>
        <x:v>0.6923076923076923</x:v>
      </x:c>
    </x:row>
    <x:row r="25">
      <x:c r="A25" s="17" t="str">
        <x:v>Identity &amp; Access</x:v>
      </x:c>
      <x:c r="B25" s="23" t="n">
        <x:f>SUMIF('Vendor Data'!$B$5:$B$29,A25,'Vendor Data'!$H$5:$H$29)/SUMIF('Vendor Data'!$B$5:$B$29,A25,'Vendor Data'!$I$5:$I$29)</x:f>
        <x:v>0.8214285714285714</x:v>
      </x:c>
    </x:row>
    <x:row r="26">
      <x:c r="A26" s="17" t="str">
        <x:v>Data Protection</x:v>
      </x:c>
      <x:c r="B26" s="23" t="n">
        <x:f>SUMIF('Vendor Data'!$B$5:$B$29,A26,'Vendor Data'!$H$5:$H$29)/SUMIF('Vendor Data'!$B$5:$B$29,A26,'Vendor Data'!$I$5:$I$29)</x:f>
        <x:v>0.875</x:v>
      </x:c>
    </x:row>
    <x:row r="27">
      <x:c r="A27" s="17" t="str">
        <x:v>Application Security</x:v>
      </x:c>
      <x:c r="B27" s="23" t="n">
        <x:f>SUMIF('Vendor Data'!$B$5:$B$29,A27,'Vendor Data'!$H$5:$H$29)/SUMIF('Vendor Data'!$B$5:$B$29,A27,'Vendor Data'!$I$5:$I$29)</x:f>
        <x:v>0.8076923076923077</x:v>
      </x:c>
    </x:row>
    <x:row r="28">
      <x:c r="A28" s="17" t="str">
        <x:v>Monitoring &amp; Response</x:v>
      </x:c>
      <x:c r="B28" s="23" t="n">
        <x:f>SUMIF('Vendor Data'!$B$5:$B$29,A28,'Vendor Data'!$H$5:$H$29)/SUMIF('Vendor Data'!$B$5:$B$29,A28,'Vendor Data'!$I$5:$I$29)</x:f>
        <x:v>0.6666666666666666</x:v>
      </x:c>
    </x:row>
    <x:row r="29">
      <x:c r="A29" s="17" t="str">
        <x:v>Resilience</x:v>
      </x:c>
      <x:c r="B29" s="23" t="n">
        <x:f>SUMIF('Vendor Data'!$B$5:$B$29,A29,'Vendor Data'!$H$5:$H$29)/SUMIF('Vendor Data'!$B$5:$B$29,A29,'Vendor Data'!$I$5:$I$29)</x:f>
        <x:v>0.5</x:v>
      </x:c>
    </x:row>
    <x:row r="30">
      <x:c r="A30" s="17" t="str">
        <x:v>Privacy</x:v>
      </x:c>
      <x:c r="B30" s="23" t="n">
        <x:f>SUMIF('Vendor Data'!$B$5:$B$29,A30,'Vendor Data'!$H$5:$H$29)/SUMIF('Vendor Data'!$B$5:$B$29,A30,'Vendor Data'!$I$5:$I$29)</x:f>
        <x:v>0.5</x:v>
      </x:c>
    </x:row>
    <x:row r="31">
      <x:c r="A31" s="18" t="str">
        <x:v>Third Parties</x:v>
      </x:c>
      <x:c r="B31" s="24" t="n">
        <x:f>SUMIF('Vendor Data'!$B$5:$B$29,A31,'Vendor Data'!$H$5:$H$29)/SUMIF('Vendor Data'!$B$5:$B$29,A31,'Vendor Data'!$I$5:$I$29)</x:f>
        <x:v>0.6538461538461539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3" hidden="0" customWidth="1"/>
    <x:col min="3" max="3" width="4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0" hidden="0" customWidth="1"/>
    <x:col min="13" max="13" width="20" hidden="0" customWidth="1"/>
    <x:col min="14" max="14" width="14" hidden="0" customWidth="1"/>
    <x:col min="15" max="15" width="14" hidden="0" customWidth="1"/>
    <x:col min="16" max="16" width="48" hidden="0" customWidth="1"/>
    <x:col min="17" max="17" width="14" hidden="0" customWidth="1"/>
  </x:cols>
  <x:sheetData>
    <x:row r="1" ht="32" customHeight="1">
      <x:c r="A1" s="3" t="str">
        <x:v>Trainory | Risk Data</x:v>
      </x:c>
      <x:c r="B1" s="3" t="str">
        <x:v>Trainory | Risk Data</x:v>
      </x:c>
      <x:c r="C1" s="3" t="str">
        <x:v>Trainory | Risk Data</x:v>
      </x:c>
      <x:c r="D1" s="3" t="str">
        <x:v>Trainory | Risk Data</x:v>
      </x:c>
      <x:c r="E1" s="3" t="str">
        <x:v>Trainory | Risk Data</x:v>
      </x:c>
      <x:c r="F1" s="3" t="str">
        <x:v>Trainory | Risk Data</x:v>
      </x:c>
      <x:c r="G1" s="3" t="str">
        <x:v>Trainory | Risk Data</x:v>
      </x:c>
      <x:c r="H1" s="3" t="str">
        <x:v>Trainory | Risk Data</x:v>
      </x:c>
      <x:c r="I1" s="3" t="str">
        <x:v>Trainory | Risk Data</x:v>
      </x:c>
      <x:c r="J1" s="3" t="str">
        <x:v>Trainory | Risk Data</x:v>
      </x:c>
      <x:c r="K1" s="3" t="str">
        <x:v>Trainory | Risk Data</x:v>
      </x:c>
      <x:c r="L1" s="3" t="str">
        <x:v>Trainory | Risk Data</x:v>
      </x:c>
      <x:c r="M1" s="3" t="str">
        <x:v>Trainory | Risk Data</x:v>
      </x:c>
      <x:c r="N1" s="3" t="str">
        <x:v>Trainory | Risk Data</x:v>
      </x:c>
      <x:c r="O1" s="3" t="str">
        <x:v>Trainory | Risk Data</x:v>
      </x:c>
      <x:c r="P1" s="3" t="str">
        <x:v>Trainory | Risk Data</x:v>
      </x:c>
      <x:c r="Q1" s="3" t="str">
        <x:v>Trainory | Risk Data</x:v>
      </x:c>
    </x:row>
    <x:row r="2" ht="24" customHeight="1">
      <x:c r="A2" s="6" t="str">
        <x:v>Consolidated risk-register data</x:v>
      </x:c>
      <x:c r="B2" s="6" t="str">
        <x:v>Consolidated risk-register data</x:v>
      </x:c>
      <x:c r="C2" s="6" t="str">
        <x:v>Consolidated risk-register data</x:v>
      </x:c>
      <x:c r="D2" s="6" t="str">
        <x:v>Consolidated risk-register data</x:v>
      </x:c>
      <x:c r="E2" s="6" t="str">
        <x:v>Consolidated risk-register data</x:v>
      </x:c>
      <x:c r="F2" s="6" t="str">
        <x:v>Consolidated risk-register data</x:v>
      </x:c>
      <x:c r="G2" s="6" t="str">
        <x:v>Consolidated risk-register data</x:v>
      </x:c>
      <x:c r="H2" s="6" t="str">
        <x:v>Consolidated risk-register data</x:v>
      </x:c>
      <x:c r="I2" s="6" t="str">
        <x:v>Consolidated risk-register data</x:v>
      </x:c>
      <x:c r="J2" s="6" t="str">
        <x:v>Consolidated risk-register data</x:v>
      </x:c>
      <x:c r="K2" s="6" t="str">
        <x:v>Consolidated risk-register data</x:v>
      </x:c>
      <x:c r="L2" s="6" t="str">
        <x:v>Consolidated risk-register data</x:v>
      </x:c>
      <x:c r="M2" s="6" t="str">
        <x:v>Consolidated risk-register data</x:v>
      </x:c>
      <x:c r="N2" s="6" t="str">
        <x:v>Consolidated risk-register data</x:v>
      </x:c>
      <x:c r="O2" s="6" t="str">
        <x:v>Consolidated risk-register data</x:v>
      </x:c>
      <x:c r="P2" s="6" t="str">
        <x:v>Consolidated risk-register data</x:v>
      </x:c>
      <x:c r="Q2" s="6" t="str">
        <x:v>Consolidated risk-register data</x:v>
      </x:c>
    </x:row>
    <x:row r="4" ht="34" customHeight="1">
      <x:c r="A4" s="12" t="str">
        <x:v>Risk ID</x:v>
      </x:c>
      <x:c r="B4" s="12" t="str">
        <x:v>Category</x:v>
      </x:c>
      <x:c r="C4" s="12" t="str">
        <x:v>Risk Statement</x:v>
      </x:c>
      <x:c r="D4" s="12" t="str">
        <x:v>Inherent Likelihood</x:v>
      </x:c>
      <x:c r="E4" s="12" t="str">
        <x:v>Inherent Impact</x:v>
      </x:c>
      <x:c r="F4" s="12" t="str">
        <x:v>Inherent Score</x:v>
      </x:c>
      <x:c r="G4" s="12" t="str">
        <x:v>Inherent Rating</x:v>
      </x:c>
      <x:c r="H4" s="12" t="str">
        <x:v>Residual Likelihood</x:v>
      </x:c>
      <x:c r="I4" s="12" t="str">
        <x:v>Residual Impact</x:v>
      </x:c>
      <x:c r="J4" s="12" t="str">
        <x:v>Residual Score</x:v>
      </x:c>
      <x:c r="K4" s="12" t="str">
        <x:v>Residual Rating</x:v>
      </x:c>
      <x:c r="L4" s="12" t="str">
        <x:v>Owner</x:v>
      </x:c>
      <x:c r="M4" s="12" t="str">
        <x:v>Status</x:v>
      </x:c>
      <x:c r="N4" s="12" t="str">
        <x:v>Target Date</x:v>
      </x:c>
      <x:c r="O4" s="12" t="str">
        <x:v>Treatment</x:v>
      </x:c>
      <x:c r="P4" s="12" t="str">
        <x:v>Recommended Actions</x:v>
      </x:c>
      <x:c r="Q4" s="12" t="str">
        <x:v>Risk Reduction</x:v>
      </x:c>
    </x:row>
    <x:row r="5">
      <x:c r="A5" s="17" t="str">
        <x:v>TRN-R001</x:v>
      </x:c>
      <x:c r="B5" s="17" t="str">
        <x:v>Account compromise</x:v>
      </x:c>
      <x:c r="C5" s="17" t="str">
        <x:v>Stolen or reused customer credentials could allow unauthorized access to customer fitness and personal data.</x:v>
      </x:c>
      <x:c r="D5" s="19" t="n">
        <x:v>4</x:v>
      </x:c>
      <x:c r="E5" s="19" t="n">
        <x:v>5</x:v>
      </x:c>
      <x:c r="F5" s="19" t="n">
        <x:v>20</x:v>
      </x:c>
      <x:c r="G5" s="17" t="str">
        <x:v>Critical</x:v>
      </x:c>
      <x:c r="H5" s="19" t="n">
        <x:v>3</x:v>
      </x:c>
      <x:c r="I5" s="19" t="n">
        <x:v>5</x:v>
      </x:c>
      <x:c r="J5" s="19" t="n">
        <x:v>15</x:v>
      </x:c>
      <x:c r="K5" s="19" t="str">
        <x:v>High</x:v>
      </x:c>
      <x:c r="L5" s="17" t="str">
        <x:v>Cybersecurity / IT</x:v>
      </x:c>
      <x:c r="M5" s="17" t="str">
        <x:v>In Progress</x:v>
      </x:c>
      <x:c r="N5" s="21" t="n">
        <x:v>46326</x:v>
      </x:c>
      <x:c r="O5" s="17" t="str">
        <x:v>Mitigate</x:v>
      </x:c>
      <x:c r="P5" s="17" t="str">
        <x:v>Add customer MFA options, breached-password screening, rate limiting, and stronger alerting.</x:v>
      </x:c>
      <x:c r="Q5" s="17" t="n">
        <x:f>F5-J5</x:f>
        <x:v>5</x:v>
      </x:c>
    </x:row>
    <x:row r="6">
      <x:c r="A6" s="17" t="str">
        <x:v>TRN-R002</x:v>
      </x:c>
      <x:c r="B6" s="17" t="str">
        <x:v>Cloud misconfiguration</x:v>
      </x:c>
      <x:c r="C6" s="17" t="str">
        <x:v>An incorrectly configured cloud database or storage resource could expose sensitive customer information to the internet.</x:v>
      </x:c>
      <x:c r="D6" s="19" t="n">
        <x:v>3</x:v>
      </x:c>
      <x:c r="E6" s="19" t="n">
        <x:v>5</x:v>
      </x:c>
      <x:c r="F6" s="19" t="n">
        <x:v>15</x:v>
      </x:c>
      <x:c r="G6" s="17" t="str">
        <x:v>High</x:v>
      </x:c>
      <x:c r="H6" s="19" t="n">
        <x:v>2</x:v>
      </x:c>
      <x:c r="I6" s="19" t="n">
        <x:v>5</x:v>
      </x:c>
      <x:c r="J6" s="19" t="n">
        <x:v>10</x:v>
      </x:c>
      <x:c r="K6" s="19" t="str">
        <x:v>High</x:v>
      </x:c>
      <x:c r="L6" s="17" t="str">
        <x:v>IT / Cloud Engineering</x:v>
      </x:c>
      <x:c r="M6" s="17" t="str">
        <x:v>Open</x:v>
      </x:c>
      <x:c r="N6" s="21" t="n">
        <x:v>46310</x:v>
      </x:c>
      <x:c r="O6" s="17" t="str">
        <x:v>Mitigate</x:v>
      </x:c>
      <x:c r="P6" s="17" t="str">
        <x:v>Implement configuration scanning, approved baselines, encryption checks, and recurring cloud reviews.</x:v>
      </x:c>
      <x:c r="Q6" s="17" t="n">
        <x:f>F6-J6</x:f>
        <x:v>5</x:v>
      </x:c>
    </x:row>
    <x:row r="7">
      <x:c r="A7" s="17" t="str">
        <x:v>TRN-R003</x:v>
      </x:c>
      <x:c r="B7" s="17" t="str">
        <x:v>Excessive privileged access</x:v>
      </x:c>
      <x:c r="C7" s="17" t="str">
        <x:v>Too many employees or administrators could retain powerful access beyond what their jobs require.</x:v>
      </x:c>
      <x:c r="D7" s="19" t="n">
        <x:v>4</x:v>
      </x:c>
      <x:c r="E7" s="19" t="n">
        <x:v>4</x:v>
      </x:c>
      <x:c r="F7" s="19" t="n">
        <x:v>16</x:v>
      </x:c>
      <x:c r="G7" s="17" t="str">
        <x:v>High</x:v>
      </x:c>
      <x:c r="H7" s="19" t="n">
        <x:v>3</x:v>
      </x:c>
      <x:c r="I7" s="19" t="n">
        <x:v>4</x:v>
      </x:c>
      <x:c r="J7" s="19" t="n">
        <x:v>12</x:v>
      </x:c>
      <x:c r="K7" s="19" t="str">
        <x:v>High</x:v>
      </x:c>
      <x:c r="L7" s="17" t="str">
        <x:v>Cybersecurity / IT</x:v>
      </x:c>
      <x:c r="M7" s="17" t="str">
        <x:v>Open</x:v>
      </x:c>
      <x:c r="N7" s="21" t="n">
        <x:v>46341</x:v>
      </x:c>
      <x:c r="O7" s="17" t="str">
        <x:v>Mitigate</x:v>
      </x:c>
      <x:c r="P7" s="17" t="str">
        <x:v>Create least-privilege roles, quarterly access reviews, privileged-access logs, and approval requirements.</x:v>
      </x:c>
      <x:c r="Q7" s="17" t="n">
        <x:f>F7-J7</x:f>
        <x:v>4</x:v>
      </x:c>
    </x:row>
    <x:row r="8">
      <x:c r="A8" s="17" t="str">
        <x:v>TRN-R004</x:v>
      </x:c>
      <x:c r="B8" s="17" t="str">
        <x:v>Insecure wearable integration</x:v>
      </x:c>
      <x:c r="C8" s="17" t="str">
        <x:v>Weak API authentication or excessive permissions could expose or alter imported wearable and activity data.</x:v>
      </x:c>
      <x:c r="D8" s="19" t="n">
        <x:v>3</x:v>
      </x:c>
      <x:c r="E8" s="19" t="n">
        <x:v>4</x:v>
      </x:c>
      <x:c r="F8" s="19" t="n">
        <x:v>12</x:v>
      </x:c>
      <x:c r="G8" s="17" t="str">
        <x:v>High</x:v>
      </x:c>
      <x:c r="H8" s="19" t="n">
        <x:v>2</x:v>
      </x:c>
      <x:c r="I8" s="19" t="n">
        <x:v>4</x:v>
      </x:c>
      <x:c r="J8" s="19" t="n">
        <x:v>8</x:v>
      </x:c>
      <x:c r="K8" s="19" t="str">
        <x:v>Moderate</x:v>
      </x:c>
      <x:c r="L8" s="17" t="str">
        <x:v>Software Development</x:v>
      </x:c>
      <x:c r="M8" s="17" t="str">
        <x:v>Open</x:v>
      </x:c>
      <x:c r="N8" s="21" t="n">
        <x:v>46356</x:v>
      </x:c>
      <x:c r="O8" s="17" t="str">
        <x:v>Mitigate</x:v>
      </x:c>
      <x:c r="P8" s="17" t="str">
        <x:v>Limit API scopes, protect tokens, validate inputs, monitor failures, and review provider security.</x:v>
      </x:c>
      <x:c r="Q8" s="17" t="n">
        <x:f>F8-J8</x:f>
        <x:v>4</x:v>
      </x:c>
    </x:row>
    <x:row r="9">
      <x:c r="A9" s="17" t="str">
        <x:v>TRN-R005</x:v>
      </x:c>
      <x:c r="B9" s="17" t="str">
        <x:v>Remote endpoint compromise</x:v>
      </x:c>
      <x:c r="C9" s="17" t="str">
        <x:v>Malware or ransomware on an employee laptop could steal credentials, disrupt work, or provide access to company systems.</x:v>
      </x:c>
      <x:c r="D9" s="19" t="n">
        <x:v>4</x:v>
      </x:c>
      <x:c r="E9" s="19" t="n">
        <x:v>4</x:v>
      </x:c>
      <x:c r="F9" s="19" t="n">
        <x:v>16</x:v>
      </x:c>
      <x:c r="G9" s="17" t="str">
        <x:v>High</x:v>
      </x:c>
      <x:c r="H9" s="19" t="n">
        <x:v>3</x:v>
      </x:c>
      <x:c r="I9" s="19" t="n">
        <x:v>4</x:v>
      </x:c>
      <x:c r="J9" s="19" t="n">
        <x:v>12</x:v>
      </x:c>
      <x:c r="K9" s="19" t="str">
        <x:v>High</x:v>
      </x:c>
      <x:c r="L9" s="17" t="str">
        <x:v>IT Support</x:v>
      </x:c>
      <x:c r="M9" s="17" t="str">
        <x:v>In Progress</x:v>
      </x:c>
      <x:c r="N9" s="21" t="n">
        <x:v>46326</x:v>
      </x:c>
      <x:c r="O9" s="17" t="str">
        <x:v>Mitigate</x:v>
      </x:c>
      <x:c r="P9" s="17" t="str">
        <x:v>Deploy managed endpoint detection, encryption, patch enforcement, phishing training, and remote wipe.</x:v>
      </x:c>
      <x:c r="Q9" s="17" t="n">
        <x:f>F9-J9</x:f>
        <x:v>4</x:v>
      </x:c>
    </x:row>
    <x:row r="10">
      <x:c r="A10" s="17" t="str">
        <x:v>TRN-R006</x:v>
      </x:c>
      <x:c r="B10" s="17" t="str">
        <x:v>Unpatched application vulnerability</x:v>
      </x:c>
      <x:c r="C10" s="17" t="str">
        <x:v>Known or newly introduced software vulnerabilities could be exploited before Trainory identifies and corrects them.</x:v>
      </x:c>
      <x:c r="D10" s="19" t="n">
        <x:v>4</x:v>
      </x:c>
      <x:c r="E10" s="19" t="n">
        <x:v>5</x:v>
      </x:c>
      <x:c r="F10" s="19" t="n">
        <x:v>20</x:v>
      </x:c>
      <x:c r="G10" s="17" t="str">
        <x:v>Critical</x:v>
      </x:c>
      <x:c r="H10" s="19" t="n">
        <x:v>3</x:v>
      </x:c>
      <x:c r="I10" s="19" t="n">
        <x:v>5</x:v>
      </x:c>
      <x:c r="J10" s="19" t="n">
        <x:v>15</x:v>
      </x:c>
      <x:c r="K10" s="19" t="str">
        <x:v>High</x:v>
      </x:c>
      <x:c r="L10" s="17" t="str">
        <x:v>Software Development</x:v>
      </x:c>
      <x:c r="M10" s="17" t="str">
        <x:v>Open</x:v>
      </x:c>
      <x:c r="N10" s="21" t="n">
        <x:v>46310</x:v>
      </x:c>
      <x:c r="O10" s="17" t="str">
        <x:v>Mitigate</x:v>
      </x:c>
      <x:c r="P10" s="17" t="str">
        <x:v>Add automated dependency, code, and application scanning with severity-based remediation deadlines.</x:v>
      </x:c>
      <x:c r="Q10" s="17" t="n">
        <x:f>F10-J10</x:f>
        <x:v>5</x:v>
      </x:c>
    </x:row>
    <x:row r="11">
      <x:c r="A11" s="17" t="str">
        <x:v>TRN-R007</x:v>
      </x:c>
      <x:c r="B11" s="17" t="str">
        <x:v>Source-code or secret exposure</x:v>
      </x:c>
      <x:c r="C11" s="17" t="str">
        <x:v>Credentials, API keys, or sensitive code could be committed to GitHub or accessed through a compromised developer account.</x:v>
      </x:c>
      <x:c r="D11" s="19" t="n">
        <x:v>3</x:v>
      </x:c>
      <x:c r="E11" s="19" t="n">
        <x:v>5</x:v>
      </x:c>
      <x:c r="F11" s="19" t="n">
        <x:v>15</x:v>
      </x:c>
      <x:c r="G11" s="17" t="str">
        <x:v>High</x:v>
      </x:c>
      <x:c r="H11" s="19" t="n">
        <x:v>2</x:v>
      </x:c>
      <x:c r="I11" s="19" t="n">
        <x:v>5</x:v>
      </x:c>
      <x:c r="J11" s="19" t="n">
        <x:v>10</x:v>
      </x:c>
      <x:c r="K11" s="19" t="str">
        <x:v>High</x:v>
      </x:c>
      <x:c r="L11" s="17" t="str">
        <x:v>Software Development</x:v>
      </x:c>
      <x:c r="M11" s="17" t="str">
        <x:v>Open</x:v>
      </x:c>
      <x:c r="N11" s="21" t="n">
        <x:v>46326</x:v>
      </x:c>
      <x:c r="O11" s="17" t="str">
        <x:v>Mitigate</x:v>
      </x:c>
      <x:c r="P11" s="17" t="str">
        <x:v>Enable secret scanning, protected branches, least privilege, code-owner approvals, and key rotation procedures.</x:v>
      </x:c>
      <x:c r="Q11" s="17" t="n">
        <x:f>F11-J11</x:f>
        <x:v>5</x:v>
      </x:c>
    </x:row>
    <x:row r="12">
      <x:c r="A12" s="17" t="str">
        <x:v>TRN-R008</x:v>
      </x:c>
      <x:c r="B12" s="17" t="str">
        <x:v>Unauthorized production change</x:v>
      </x:c>
      <x:c r="C12" s="17" t="str">
        <x:v>An unapproved or malicious pipeline change could deploy insecure code or disrupt the production application.</x:v>
      </x:c>
      <x:c r="D12" s="19" t="n">
        <x:v>3</x:v>
      </x:c>
      <x:c r="E12" s="19" t="n">
        <x:v>5</x:v>
      </x:c>
      <x:c r="F12" s="19" t="n">
        <x:v>15</x:v>
      </x:c>
      <x:c r="G12" s="17" t="str">
        <x:v>High</x:v>
      </x:c>
      <x:c r="H12" s="19" t="n">
        <x:v>2</x:v>
      </x:c>
      <x:c r="I12" s="19" t="n">
        <x:v>5</x:v>
      </x:c>
      <x:c r="J12" s="19" t="n">
        <x:v>10</x:v>
      </x:c>
      <x:c r="K12" s="19" t="str">
        <x:v>High</x:v>
      </x:c>
      <x:c r="L12" s="17" t="str">
        <x:v>DevOps</x:v>
      </x:c>
      <x:c r="M12" s="17" t="str">
        <x:v>Open</x:v>
      </x:c>
      <x:c r="N12" s="21" t="n">
        <x:v>46341</x:v>
      </x:c>
      <x:c r="O12" s="17" t="str">
        <x:v>Mitigate</x:v>
      </x:c>
      <x:c r="P12" s="17" t="str">
        <x:v>Require protected approvals, signed artifacts, separated duties, deployment logs, and rollback testing.</x:v>
      </x:c>
      <x:c r="Q12" s="17" t="n">
        <x:f>F12-J12</x:f>
        <x:v>5</x:v>
      </x:c>
    </x:row>
    <x:row r="13">
      <x:c r="A13" s="17" t="str">
        <x:v>TRN-R009</x:v>
      </x:c>
      <x:c r="B13" s="17" t="str">
        <x:v>Payment provider disruption</x:v>
      </x:c>
      <x:c r="C13" s="17" t="str">
        <x:v>A security incident or outage at the payment provider could interrupt subscriptions or expose limited customer billing information.</x:v>
      </x:c>
      <x:c r="D13" s="19" t="n">
        <x:v>3</x:v>
      </x:c>
      <x:c r="E13" s="19" t="n">
        <x:v>4</x:v>
      </x:c>
      <x:c r="F13" s="19" t="n">
        <x:v>12</x:v>
      </x:c>
      <x:c r="G13" s="17" t="str">
        <x:v>High</x:v>
      </x:c>
      <x:c r="H13" s="19" t="n">
        <x:v>2</x:v>
      </x:c>
      <x:c r="I13" s="19" t="n">
        <x:v>4</x:v>
      </x:c>
      <x:c r="J13" s="19" t="n">
        <x:v>8</x:v>
      </x:c>
      <x:c r="K13" s="19" t="str">
        <x:v>Moderate</x:v>
      </x:c>
      <x:c r="L13" s="17" t="str">
        <x:v>Finance</x:v>
      </x:c>
      <x:c r="M13" s="17" t="str">
        <x:v>Monitoring</x:v>
      </x:c>
      <x:c r="N13" s="21" t="n">
        <x:v>46371</x:v>
      </x:c>
      <x:c r="O13" s="17" t="str">
        <x:v>Transfer</x:v>
      </x:c>
      <x:c r="P13" s="17" t="str">
        <x:v>Review assurance reports, breach terms, availability commitments, and contingency procedures annually.</x:v>
      </x:c>
      <x:c r="Q13" s="17" t="n">
        <x:f>F13-J13</x:f>
        <x:v>4</x:v>
      </x:c>
    </x:row>
    <x:row r="14">
      <x:c r="A14" s="17" t="str">
        <x:v>TRN-R010</x:v>
      </x:c>
      <x:c r="B14" s="17" t="str">
        <x:v>Email phishing and takeover</x:v>
      </x:c>
      <x:c r="C14" s="17" t="str">
        <x:v>A successful phishing attack could compromise an employee mailbox and enable fraud, data theft, or additional account compromise.</x:v>
      </x:c>
      <x:c r="D14" s="19" t="n">
        <x:v>4</x:v>
      </x:c>
      <x:c r="E14" s="19" t="n">
        <x:v>4</x:v>
      </x:c>
      <x:c r="F14" s="19" t="n">
        <x:v>16</x:v>
      </x:c>
      <x:c r="G14" s="17" t="str">
        <x:v>High</x:v>
      </x:c>
      <x:c r="H14" s="19" t="n">
        <x:v>3</x:v>
      </x:c>
      <x:c r="I14" s="19" t="n">
        <x:v>4</x:v>
      </x:c>
      <x:c r="J14" s="19" t="n">
        <x:v>12</x:v>
      </x:c>
      <x:c r="K14" s="19" t="str">
        <x:v>High</x:v>
      </x:c>
      <x:c r="L14" s="17" t="str">
        <x:v>Cybersecurity / IT</x:v>
      </x:c>
      <x:c r="M14" s="17" t="str">
        <x:v>In Progress</x:v>
      </x:c>
      <x:c r="N14" s="21" t="n">
        <x:v>46310</x:v>
      </x:c>
      <x:c r="O14" s="17" t="str">
        <x:v>Mitigate</x:v>
      </x:c>
      <x:c r="P14" s="17" t="str">
        <x:v>Provide recurring phishing training, restrict legacy authentication, add conditional access, and monitor risky sign-ins.</x:v>
      </x:c>
      <x:c r="Q14" s="17" t="n">
        <x:f>F14-J14</x:f>
        <x:v>4</x:v>
      </x:c>
    </x:row>
    <x:row r="15">
      <x:c r="A15" s="17" t="str">
        <x:v>TRN-R011</x:v>
      </x:c>
      <x:c r="B15" s="17" t="str">
        <x:v>Backup restoration failure</x:v>
      </x:c>
      <x:c r="C15" s="17" t="str">
        <x:v>Backups may be incomplete, unavailable, or unusable during a ransomware event or major service failure.</x:v>
      </x:c>
      <x:c r="D15" s="19" t="n">
        <x:v>3</x:v>
      </x:c>
      <x:c r="E15" s="19" t="n">
        <x:v>5</x:v>
      </x:c>
      <x:c r="F15" s="19" t="n">
        <x:v>15</x:v>
      </x:c>
      <x:c r="G15" s="17" t="str">
        <x:v>High</x:v>
      </x:c>
      <x:c r="H15" s="19" t="n">
        <x:v>3</x:v>
      </x:c>
      <x:c r="I15" s="19" t="n">
        <x:v>4</x:v>
      </x:c>
      <x:c r="J15" s="19" t="n">
        <x:v>12</x:v>
      </x:c>
      <x:c r="K15" s="19" t="str">
        <x:v>High</x:v>
      </x:c>
      <x:c r="L15" s="17" t="str">
        <x:v>IT / Cloud Engineering</x:v>
      </x:c>
      <x:c r="M15" s="17" t="str">
        <x:v>Open</x:v>
      </x:c>
      <x:c r="N15" s="21" t="n">
        <x:v>46356</x:v>
      </x:c>
      <x:c r="O15" s="17" t="str">
        <x:v>Mitigate</x:v>
      </x:c>
      <x:c r="P15" s="17" t="str">
        <x:v>Define recovery objectives, protect backup access, retain isolated copies, and test restoration quarterly.</x:v>
      </x:c>
      <x:c r="Q15" s="17" t="n">
        <x:f>F15-J15</x:f>
        <x:v>3</x:v>
      </x:c>
    </x:row>
    <x:row r="16">
      <x:c r="A16" s="17" t="str">
        <x:v>TRN-R012</x:v>
      </x:c>
      <x:c r="B16" s="17" t="str">
        <x:v>Insufficient security monitoring</x:v>
      </x:c>
      <x:c r="C16" s="17" t="str">
        <x:v>Missing or unreviewed logs could prevent Trainory from quickly detecting and investigating suspicious activity.</x:v>
      </x:c>
      <x:c r="D16" s="19" t="n">
        <x:v>4</x:v>
      </x:c>
      <x:c r="E16" s="19" t="n">
        <x:v>4</x:v>
      </x:c>
      <x:c r="F16" s="19" t="n">
        <x:v>16</x:v>
      </x:c>
      <x:c r="G16" s="17" t="str">
        <x:v>High</x:v>
      </x:c>
      <x:c r="H16" s="19" t="n">
        <x:v>3</x:v>
      </x:c>
      <x:c r="I16" s="19" t="n">
        <x:v>4</x:v>
      </x:c>
      <x:c r="J16" s="19" t="n">
        <x:v>12</x:v>
      </x:c>
      <x:c r="K16" s="19" t="str">
        <x:v>High</x:v>
      </x:c>
      <x:c r="L16" s="17" t="str">
        <x:v>Cybersecurity / IT</x:v>
      </x:c>
      <x:c r="M16" s="17" t="str">
        <x:v>Open</x:v>
      </x:c>
      <x:c r="N16" s="21" t="n">
        <x:v>46341</x:v>
      </x:c>
      <x:c r="O16" s="17" t="str">
        <x:v>Mitigate</x:v>
      </x:c>
      <x:c r="P16" s="17" t="str">
        <x:v>Centralize critical logs, define alerts, document review responsibilities, and test incident escalation.</x:v>
      </x:c>
      <x:c r="Q16" s="17" t="n">
        <x:f>F16-J16</x:f>
        <x:v>4</x:v>
      </x:c>
    </x:row>
    <x:row r="17">
      <x:c r="A17" s="17" t="str">
        <x:v>TRN-R013</x:v>
      </x:c>
      <x:c r="B17" s="17" t="str">
        <x:v>Inadequate privacy and consent</x:v>
      </x:c>
      <x:c r="C17" s="17" t="str">
        <x:v>Trainory could collect or share wellness data without clear notice, appropriate consent, or reliable deletion processes.</x:v>
      </x:c>
      <x:c r="D17" s="19" t="n">
        <x:v>3</x:v>
      </x:c>
      <x:c r="E17" s="19" t="n">
        <x:v>5</x:v>
      </x:c>
      <x:c r="F17" s="19" t="n">
        <x:v>15</x:v>
      </x:c>
      <x:c r="G17" s="17" t="str">
        <x:v>High</x:v>
      </x:c>
      <x:c r="H17" s="19" t="n">
        <x:v>3</x:v>
      </x:c>
      <x:c r="I17" s="19" t="n">
        <x:v>4</x:v>
      </x:c>
      <x:c r="J17" s="19" t="n">
        <x:v>12</x:v>
      </x:c>
      <x:c r="K17" s="19" t="str">
        <x:v>High</x:v>
      </x:c>
      <x:c r="L17" s="17" t="str">
        <x:v>Legal / Compliance</x:v>
      </x:c>
      <x:c r="M17" s="17" t="str">
        <x:v>Open</x:v>
      </x:c>
      <x:c r="N17" s="21" t="n">
        <x:v>46371</x:v>
      </x:c>
      <x:c r="O17" s="17" t="str">
        <x:v>Mitigate</x:v>
      </x:c>
      <x:c r="P17" s="17" t="str">
        <x:v>Create a data inventory, consent records, retention rules, deletion workflow, and privacy review process.</x:v>
      </x:c>
      <x:c r="Q17" s="17" t="n">
        <x:f>F17-J17</x:f>
        <x:v>3</x:v>
      </x:c>
    </x:row>
    <x:row r="18">
      <x:c r="A18" s="17" t="str">
        <x:v>TRN-R014</x:v>
      </x:c>
      <x:c r="B18" s="17" t="str">
        <x:v>Delayed access removal</x:v>
      </x:c>
      <x:c r="C18" s="17" t="str">
        <x:v>A departing employee could retain access to company systems because offboarding is late or incomplete.</x:v>
      </x:c>
      <x:c r="D18" s="19" t="n">
        <x:v>3</x:v>
      </x:c>
      <x:c r="E18" s="19" t="n">
        <x:v>4</x:v>
      </x:c>
      <x:c r="F18" s="19" t="n">
        <x:v>12</x:v>
      </x:c>
      <x:c r="G18" s="17" t="str">
        <x:v>High</x:v>
      </x:c>
      <x:c r="H18" s="19" t="n">
        <x:v>2</x:v>
      </x:c>
      <x:c r="I18" s="19" t="n">
        <x:v>4</x:v>
      </x:c>
      <x:c r="J18" s="19" t="n">
        <x:v>8</x:v>
      </x:c>
      <x:c r="K18" s="19" t="str">
        <x:v>Moderate</x:v>
      </x:c>
      <x:c r="L18" s="17" t="str">
        <x:v>Human Resources / IT</x:v>
      </x:c>
      <x:c r="M18" s="17" t="str">
        <x:v>Open</x:v>
      </x:c>
      <x:c r="N18" s="21" t="n">
        <x:v>46326</x:v>
      </x:c>
      <x:c r="O18" s="17" t="str">
        <x:v>Mitigate</x:v>
      </x:c>
      <x:c r="P18" s="17" t="str">
        <x:v>Use an offboarding checklist, centralized account inventory, immediate disablement, and completion evidence.</x:v>
      </x:c>
      <x:c r="Q18" s="17" t="n">
        <x:f>F18-J18</x:f>
        <x:v>4</x:v>
      </x:c>
    </x:row>
    <x:row r="19">
      <x:c r="A19" s="18" t="str">
        <x:v>TRN-R015</x:v>
      </x:c>
      <x:c r="B19" s="18" t="str">
        <x:v>Application outage or denial of service</x:v>
      </x:c>
      <x:c r="C19" s="18" t="str">
        <x:v>Heavy traffic, malicious activity, or cloud failure could make the Trainory platform unavailable to customers.</x:v>
      </x:c>
      <x:c r="D19" s="20" t="n">
        <x:v>3</x:v>
      </x:c>
      <x:c r="E19" s="20" t="n">
        <x:v>4</x:v>
      </x:c>
      <x:c r="F19" s="20" t="n">
        <x:v>12</x:v>
      </x:c>
      <x:c r="G19" s="18" t="str">
        <x:v>High</x:v>
      </x:c>
      <x:c r="H19" s="20" t="n">
        <x:v>2</x:v>
      </x:c>
      <x:c r="I19" s="20" t="n">
        <x:v>4</x:v>
      </x:c>
      <x:c r="J19" s="20" t="n">
        <x:v>8</x:v>
      </x:c>
      <x:c r="K19" s="20" t="str">
        <x:v>Moderate</x:v>
      </x:c>
      <x:c r="L19" s="18" t="str">
        <x:v>IT / Cloud Engineering</x:v>
      </x:c>
      <x:c r="M19" s="18" t="str">
        <x:v>Monitoring</x:v>
      </x:c>
      <x:c r="N19" s="22" t="n">
        <x:v>46402</x:v>
      </x:c>
      <x:c r="O19" s="18" t="str">
        <x:v>Mitigate</x:v>
      </x:c>
      <x:c r="P19" s="18" t="str">
        <x:v>Define uptime targets, add rate limiting and scaling alerts, test failover, and document customer communications.</x:v>
      </x:c>
      <x:c r="Q19" s="18" t="n">
        <x:f>F19-J19</x:f>
        <x:v>4</x:v>
      </x:c>
    </x:row>
  </x:sheetData>
  <x:mergeCells>
    <x:mergeCell ref="A1:Q1"/>
    <x:mergeCell ref="A2:Q2"/>
  </x:mergeCells>
  <x:conditionalFormatting sqref="G5:G19">
    <x:cfRule type="containsText" dxfId="0" priority="1" operator="containsText" text="Critical"/>
    <x:cfRule type="containsText" dxfId="1" priority="2" operator="containsText" text="High"/>
    <x:cfRule type="containsText" dxfId="2" priority="3" operator="containsText" text="Moderate"/>
    <x:cfRule type="containsText" dxfId="3" priority="4" operator="containsText" text="Implemented"/>
    <x:cfRule type="containsText" dxfId="4" priority="5" operator="containsText" text="Retain"/>
    <x:cfRule type="containsText" dxfId="5" priority="6" operator="containsText" text="Yes"/>
  </x:conditionalFormatting>
  <x:conditionalFormatting sqref="K5:K19">
    <x:cfRule type="containsText" dxfId="6" priority="7" operator="containsText" text="Critical"/>
    <x:cfRule type="containsText" dxfId="7" priority="8" operator="containsText" text="High"/>
    <x:cfRule type="containsText" dxfId="8" priority="9" operator="containsText" text="Moderate"/>
    <x:cfRule type="containsText" dxfId="9" priority="10" operator="containsText" text="Implemented"/>
    <x:cfRule type="containsText" dxfId="10" priority="11" operator="containsText" text="Retain"/>
    <x:cfRule type="containsText" dxfId="11" priority="12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3610b99e3d2843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25" hidden="0" customWidth="1"/>
    <x:col min="4" max="4" width="45" hidden="0" customWidth="1"/>
    <x:col min="5" max="5" width="18" hidden="0" customWidth="1"/>
    <x:col min="6" max="6" width="45" hidden="0" customWidth="1"/>
    <x:col min="7" max="7" width="45" hidden="0" customWidth="1"/>
    <x:col min="8" max="8" width="23" hidden="0" customWidth="1"/>
    <x:col min="9" max="9" width="13" hidden="0" customWidth="1"/>
    <x:col min="10" max="10" width="25" hidden="0" customWidth="1"/>
  </x:cols>
  <x:sheetData>
    <x:row r="1" ht="32" customHeight="1">
      <x:c r="A1" s="3" t="str">
        <x:v>Trainory | Control Data</x:v>
      </x:c>
      <x:c r="B1" s="3" t="str">
        <x:v>Trainory | Control Data</x:v>
      </x:c>
      <x:c r="C1" s="3" t="str">
        <x:v>Trainory | Control Data</x:v>
      </x:c>
      <x:c r="D1" s="3" t="str">
        <x:v>Trainory | Control Data</x:v>
      </x:c>
      <x:c r="E1" s="3" t="str">
        <x:v>Trainory | Control Data</x:v>
      </x:c>
      <x:c r="F1" s="3" t="str">
        <x:v>Trainory | Control Data</x:v>
      </x:c>
      <x:c r="G1" s="3" t="str">
        <x:v>Trainory | Control Data</x:v>
      </x:c>
      <x:c r="H1" s="3" t="str">
        <x:v>Trainory | Control Data</x:v>
      </x:c>
      <x:c r="I1" s="3" t="str">
        <x:v>Trainory | Control Data</x:v>
      </x:c>
      <x:c r="J1" s="3" t="str">
        <x:v>Trainory | Control Data</x:v>
      </x:c>
    </x:row>
    <x:row r="2" ht="24" customHeight="1">
      <x:c r="A2" s="6" t="str">
        <x:v>Consolidated NIST CSF 2.0 assessment data</x:v>
      </x:c>
      <x:c r="B2" s="6" t="str">
        <x:v>Consolidated NIST CSF 2.0 assessment data</x:v>
      </x:c>
      <x:c r="C2" s="6" t="str">
        <x:v>Consolidated NIST CSF 2.0 assessment data</x:v>
      </x:c>
      <x:c r="D2" s="6" t="str">
        <x:v>Consolidated NIST CSF 2.0 assessment data</x:v>
      </x:c>
      <x:c r="E2" s="6" t="str">
        <x:v>Consolidated NIST CSF 2.0 assessment data</x:v>
      </x:c>
      <x:c r="F2" s="6" t="str">
        <x:v>Consolidated NIST CSF 2.0 assessment data</x:v>
      </x:c>
      <x:c r="G2" s="6" t="str">
        <x:v>Consolidated NIST CSF 2.0 assessment data</x:v>
      </x:c>
      <x:c r="H2" s="6" t="str">
        <x:v>Consolidated NIST CSF 2.0 assessment data</x:v>
      </x:c>
      <x:c r="I2" s="6" t="str">
        <x:v>Consolidated NIST CSF 2.0 assessment data</x:v>
      </x:c>
      <x:c r="J2" s="6" t="str">
        <x:v>Consolidated NIST CSF 2.0 assessment data</x:v>
      </x:c>
    </x:row>
    <x:row r="4" ht="34" customHeight="1">
      <x:c r="A4" s="12" t="str">
        <x:v>CSF ID</x:v>
      </x:c>
      <x:c r="B4" s="12" t="str">
        <x:v>Function</x:v>
      </x:c>
      <x:c r="C4" s="12" t="str">
        <x:v>Category</x:v>
      </x:c>
      <x:c r="D4" s="12" t="str">
        <x:v>Expected Outcome</x:v>
      </x:c>
      <x:c r="E4" s="12" t="str">
        <x:v>Current Status</x:v>
      </x:c>
      <x:c r="F4" s="12" t="str">
        <x:v>Gap Identified</x:v>
      </x:c>
      <x:c r="G4" s="12" t="str">
        <x:v>Recommended Action</x:v>
      </x:c>
      <x:c r="H4" s="12" t="str">
        <x:v>Control Owner</x:v>
      </x:c>
      <x:c r="I4" s="12" t="str">
        <x:v>Priority</x:v>
      </x:c>
      <x:c r="J4" s="12" t="str">
        <x:v>Related Risks</x:v>
      </x:c>
    </x:row>
    <x:row r="5">
      <x:c r="A5" s="17" t="str">
        <x:v>GV.OC-03</x:v>
      </x:c>
      <x:c r="B5" s="17" t="str">
        <x:v>Govern</x:v>
      </x:c>
      <x:c r="C5" s="17" t="str">
        <x:v>Organizational Context</x:v>
      </x:c>
      <x:c r="D5" s="17" t="str">
        <x:v>Identify and manage applicable cybersecurity, privacy, legal, and customer-contract requirements.</x:v>
      </x:c>
      <x:c r="E5" s="17" t="str">
        <x:v>Partial</x:v>
      </x:c>
      <x:c r="F5" s="17" t="str">
        <x:v>No maintained requirements register or assigned review schedule.</x:v>
      </x:c>
      <x:c r="G5" s="17" t="str">
        <x:v>Create a requirements register and review it at least annually.</x:v>
      </x:c>
      <x:c r="H5" s="17" t="str">
        <x:v>Legal / Compliance</x:v>
      </x:c>
      <x:c r="I5" s="17" t="str">
        <x:v>High</x:v>
      </x:c>
      <x:c r="J5" s="17" t="str">
        <x:v>TRN-R009; TRN-R013</x:v>
      </x:c>
    </x:row>
    <x:row r="6">
      <x:c r="A6" s="17" t="str">
        <x:v>GV.RM-01</x:v>
      </x:c>
      <x:c r="B6" s="17" t="str">
        <x:v>Govern</x:v>
      </x:c>
      <x:c r="C6" s="17" t="str">
        <x:v>Risk Management Strategy</x:v>
      </x:c>
      <x:c r="D6" s="17" t="str">
        <x:v>Define cybersecurity risk objectives that support Trainory's business mission.</x:v>
      </x:c>
      <x:c r="E6" s="17" t="str">
        <x:v>Partial</x:v>
      </x:c>
      <x:c r="F6" s="17" t="str">
        <x:v>Risk appetite and measurable objectives are not formally approved.</x:v>
      </x:c>
      <x:c r="G6" s="17" t="str">
        <x:v>Document risk appetite, risk tolerances, and GRC objectives.</x:v>
      </x:c>
      <x:c r="H6" s="17" t="str">
        <x:v>Executive Leadership</x:v>
      </x:c>
      <x:c r="I6" s="17" t="str">
        <x:v>High</x:v>
      </x:c>
      <x:c r="J6" s="17" t="str">
        <x:v>All risks</x:v>
      </x:c>
    </x:row>
    <x:row r="7">
      <x:c r="A7" s="17" t="str">
        <x:v>GV.RR-02</x:v>
      </x:c>
      <x:c r="B7" s="17" t="str">
        <x:v>Govern</x:v>
      </x:c>
      <x:c r="C7" s="17" t="str">
        <x:v>Roles, Responsibilities, and Authorities</x:v>
      </x:c>
      <x:c r="D7" s="17" t="str">
        <x:v>Establish and communicate cybersecurity roles, responsibilities, and authority.</x:v>
      </x:c>
      <x:c r="E7" s="17" t="str">
        <x:v>Partial</x:v>
      </x:c>
      <x:c r="F7" s="17" t="str">
        <x:v>Formal responsibilities and escalation authority are incomplete.</x:v>
      </x:c>
      <x:c r="G7" s="17" t="str">
        <x:v>Create a responsibility matrix and formally assign control owners.</x:v>
      </x:c>
      <x:c r="H7" s="17" t="str">
        <x:v>Executive Leadership</x:v>
      </x:c>
      <x:c r="I7" s="17" t="str">
        <x:v>High</x:v>
      </x:c>
      <x:c r="J7" s="17" t="str">
        <x:v>All risks</x:v>
      </x:c>
    </x:row>
    <x:row r="8">
      <x:c r="A8" s="17" t="str">
        <x:v>GV.PO-01</x:v>
      </x:c>
      <x:c r="B8" s="17" t="str">
        <x:v>Govern</x:v>
      </x:c>
      <x:c r="C8" s="17" t="str">
        <x:v>Policy</x:v>
      </x:c>
      <x:c r="D8" s="17" t="str">
        <x:v>Establish, communicate, and enforce cybersecurity policies appropriate to Trainory.</x:v>
      </x:c>
      <x:c r="E8" s="17" t="str">
        <x:v>Not Implemented</x:v>
      </x:c>
      <x:c r="F8" s="17" t="str">
        <x:v>Trainory lacks an approved cybersecurity policy set.</x:v>
      </x:c>
      <x:c r="G8" s="17" t="str">
        <x:v>Create and approve core access, incident, acceptable-use, vendor, and data policies.</x:v>
      </x:c>
      <x:c r="H8" s="17" t="str">
        <x:v>Cybersecurity / Compliance</x:v>
      </x:c>
      <x:c r="I8" s="17" t="str">
        <x:v>High</x:v>
      </x:c>
      <x:c r="J8" s="17" t="str">
        <x:v>TRN-R001; TRN-R003; TRN-R005; TRN-R013</x:v>
      </x:c>
    </x:row>
    <x:row r="9">
      <x:c r="A9" s="17" t="str">
        <x:v>GV.SC-05</x:v>
      </x:c>
      <x:c r="B9" s="17" t="str">
        <x:v>Govern</x:v>
      </x:c>
      <x:c r="C9" s="17" t="str">
        <x:v>Cybersecurity Supply Chain Risk Management</x:v>
      </x:c>
      <x:c r="D9" s="17" t="str">
        <x:v>Include appropriate security requirements in relationships with important vendors.</x:v>
      </x:c>
      <x:c r="E9" s="17" t="str">
        <x:v>Partial</x:v>
      </x:c>
      <x:c r="F9" s="17" t="str">
        <x:v>Vendor risk tiering, reviews, and contract requirements are inconsistent.</x:v>
      </x:c>
      <x:c r="G9" s="17" t="str">
        <x:v>Create vendor tiers, a security questionnaire, review criteria, and contract clauses.</x:v>
      </x:c>
      <x:c r="H9" s="17" t="str">
        <x:v>Legal / Compliance</x:v>
      </x:c>
      <x:c r="I9" s="17" t="str">
        <x:v>High</x:v>
      </x:c>
      <x:c r="J9" s="17" t="str">
        <x:v>TRN-R004; TRN-R009; TRN-R015</x:v>
      </x:c>
    </x:row>
    <x:row r="10">
      <x:c r="A10" s="17" t="str">
        <x:v>ID.AM-01</x:v>
      </x:c>
      <x:c r="B10" s="17" t="str">
        <x:v>Identify</x:v>
      </x:c>
      <x:c r="C10" s="17" t="str">
        <x:v>Asset Management</x:v>
      </x:c>
      <x:c r="D10" s="17" t="str">
        <x:v>Maintain an inventory of company hardware.</x:v>
      </x:c>
      <x:c r="E10" s="17" t="str">
        <x:v>Partial</x:v>
      </x:c>
      <x:c r="F10" s="17" t="str">
        <x:v>Ownership and lifecycle details are incomplete.</x:v>
      </x:c>
      <x:c r="G10" s="17" t="str">
        <x:v>Centralize endpoint inventory and reconcile it quarterly.</x:v>
      </x:c>
      <x:c r="H10" s="17" t="str">
        <x:v>IT Support</x:v>
      </x:c>
      <x:c r="I10" s="17" t="str">
        <x:v>Medium</x:v>
      </x:c>
      <x:c r="J10" s="17" t="str">
        <x:v>TRN-R005; TRN-R014</x:v>
      </x:c>
    </x:row>
    <x:row r="11">
      <x:c r="A11" s="17" t="str">
        <x:v>ID.AM-02</x:v>
      </x:c>
      <x:c r="B11" s="17" t="str">
        <x:v>Identify</x:v>
      </x:c>
      <x:c r="C11" s="17" t="str">
        <x:v>Asset Management</x:v>
      </x:c>
      <x:c r="D11" s="17" t="str">
        <x:v>Maintain an inventory of software, services, systems, and cloud resources.</x:v>
      </x:c>
      <x:c r="E11" s="17" t="str">
        <x:v>Partial</x:v>
      </x:c>
      <x:c r="F11" s="17" t="str">
        <x:v>The inventory is new and has not been validated by all owners.</x:v>
      </x:c>
      <x:c r="G11" s="17" t="str">
        <x:v>Validate assets with owners and establish quarterly updates.</x:v>
      </x:c>
      <x:c r="H11" s="17" t="str">
        <x:v>IT / Cloud Engineering</x:v>
      </x:c>
      <x:c r="I11" s="17" t="str">
        <x:v>High</x:v>
      </x:c>
      <x:c r="J11" s="17" t="str">
        <x:v>TRN-R002; TRN-R006; TRN-R012</x:v>
      </x:c>
    </x:row>
    <x:row r="12">
      <x:c r="A12" s="17" t="str">
        <x:v>ID.AM-05</x:v>
      </x:c>
      <x:c r="B12" s="17" t="str">
        <x:v>Identify</x:v>
      </x:c>
      <x:c r="C12" s="17" t="str">
        <x:v>Asset Management</x:v>
      </x:c>
      <x:c r="D12" s="17" t="str">
        <x:v>Prioritize assets based on sensitivity, criticality, and business impact.</x:v>
      </x:c>
      <x:c r="E12" s="17" t="str">
        <x:v>Implemented</x:v>
      </x:c>
      <x:c r="F12" s="17" t="str">
        <x:v>Ratings are based on fictional assumptions and require owner approval.</x:v>
      </x:c>
      <x:c r="G12" s="17" t="str">
        <x:v>Review classifications and criticality with business and technical owners.</x:v>
      </x:c>
      <x:c r="H12" s="17" t="str">
        <x:v>Cybersecurity / Compliance</x:v>
      </x:c>
      <x:c r="I12" s="17" t="str">
        <x:v>Medium</x:v>
      </x:c>
      <x:c r="J12" s="17" t="str">
        <x:v>All risks</x:v>
      </x:c>
    </x:row>
    <x:row r="13">
      <x:c r="A13" s="17" t="str">
        <x:v>ID.RA-01</x:v>
      </x:c>
      <x:c r="B13" s="17" t="str">
        <x:v>Identify</x:v>
      </x:c>
      <x:c r="C13" s="17" t="str">
        <x:v>Risk Assessment</x:v>
      </x:c>
      <x:c r="D13" s="17" t="str">
        <x:v>Identify, record, validate, and manage system vulnerabilities.</x:v>
      </x:c>
      <x:c r="E13" s="17" t="str">
        <x:v>Partial</x:v>
      </x:c>
      <x:c r="F13" s="17" t="str">
        <x:v>Scanning and remediation timelines are not standardized.</x:v>
      </x:c>
      <x:c r="G13" s="17" t="str">
        <x:v>Implement recurring vulnerability scans and severity-based remediation SLAs.</x:v>
      </x:c>
      <x:c r="H13" s="17" t="str">
        <x:v>Software Development</x:v>
      </x:c>
      <x:c r="I13" s="17" t="str">
        <x:v>Critical</x:v>
      </x:c>
      <x:c r="J13" s="17" t="str">
        <x:v>TRN-R002; TRN-R006; TRN-R007</x:v>
      </x:c>
    </x:row>
    <x:row r="14">
      <x:c r="A14" s="17" t="str">
        <x:v>ID.RA-03</x:v>
      </x:c>
      <x:c r="B14" s="17" t="str">
        <x:v>Identify</x:v>
      </x:c>
      <x:c r="C14" s="17" t="str">
        <x:v>Risk Assessment</x:v>
      </x:c>
      <x:c r="D14" s="17" t="str">
        <x:v>Identify and record credible internal and external threats.</x:v>
      </x:c>
      <x:c r="E14" s="17" t="str">
        <x:v>Implemented</x:v>
      </x:c>
      <x:c r="F14" s="17" t="str">
        <x:v>Threat review is not yet recurring or tied to external intelligence.</x:v>
      </x:c>
      <x:c r="G14" s="17" t="str">
        <x:v>Review threat scenarios quarterly and after major technology changes.</x:v>
      </x:c>
      <x:c r="H14" s="17" t="str">
        <x:v>Cybersecurity / Compliance</x:v>
      </x:c>
      <x:c r="I14" s="17" t="str">
        <x:v>Medium</x:v>
      </x:c>
      <x:c r="J14" s="17" t="str">
        <x:v>All risks</x:v>
      </x:c>
    </x:row>
    <x:row r="15">
      <x:c r="A15" s="17" t="str">
        <x:v>ID.RA-05</x:v>
      </x:c>
      <x:c r="B15" s="17" t="str">
        <x:v>Identify</x:v>
      </x:c>
      <x:c r="C15" s="17" t="str">
        <x:v>Risk Assessment</x:v>
      </x:c>
      <x:c r="D15" s="17" t="str">
        <x:v>Estimate likelihood and impact to understand cybersecurity risk.</x:v>
      </x:c>
      <x:c r="E15" s="17" t="str">
        <x:v>Implemented</x:v>
      </x:c>
      <x:c r="F15" s="17" t="str">
        <x:v>Scoring has not yet been challenged or approved by management.</x:v>
      </x:c>
      <x:c r="G15" s="17" t="str">
        <x:v>Conduct owner review and record scoring decisions.</x:v>
      </x:c>
      <x:c r="H15" s="17" t="str">
        <x:v>Cybersecurity / Compliance</x:v>
      </x:c>
      <x:c r="I15" s="17" t="str">
        <x:v>Medium</x:v>
      </x:c>
      <x:c r="J15" s="17" t="str">
        <x:v>All risks</x:v>
      </x:c>
    </x:row>
    <x:row r="16">
      <x:c r="A16" s="17" t="str">
        <x:v>ID.RA-06</x:v>
      </x:c>
      <x:c r="B16" s="17" t="str">
        <x:v>Identify</x:v>
      </x:c>
      <x:c r="C16" s="17" t="str">
        <x:v>Risk Assessment</x:v>
      </x:c>
      <x:c r="D16" s="17" t="str">
        <x:v>Choose, prioritize, track, and communicate risk responses.</x:v>
      </x:c>
      <x:c r="E16" s="17" t="str">
        <x:v>Partial</x:v>
      </x:c>
      <x:c r="F16" s="17" t="str">
        <x:v>Management acceptance and escalation rules are not documented.</x:v>
      </x:c>
      <x:c r="G16" s="17" t="str">
        <x:v>Define approval thresholds and monthly remediation reporting.</x:v>
      </x:c>
      <x:c r="H16" s="17" t="str">
        <x:v>Cybersecurity / Compliance</x:v>
      </x:c>
      <x:c r="I16" s="17" t="str">
        <x:v>High</x:v>
      </x:c>
      <x:c r="J16" s="17" t="str">
        <x:v>All risks</x:v>
      </x:c>
    </x:row>
    <x:row r="17">
      <x:c r="A17" s="17" t="str">
        <x:v>PR.AA-01</x:v>
      </x:c>
      <x:c r="B17" s="17" t="str">
        <x:v>Protect</x:v>
      </x:c>
      <x:c r="C17" s="17" t="str">
        <x:v>Identity Management, Authentication, and Access Control</x:v>
      </x:c>
      <x:c r="D17" s="17" t="str">
        <x:v>Manage identities and credentials for authorized users and services.</x:v>
      </x:c>
      <x:c r="E17" s="17" t="str">
        <x:v>Partial</x:v>
      </x:c>
      <x:c r="F17" s="17" t="str">
        <x:v>Customer MFA and centralized identity lifecycle controls are incomplete.</x:v>
      </x:c>
      <x:c r="G17" s="17" t="str">
        <x:v>Expand MFA, centralize account records, and document credential lifecycle rules.</x:v>
      </x:c>
      <x:c r="H17" s="17" t="str">
        <x:v>Cybersecurity / IT</x:v>
      </x:c>
      <x:c r="I17" s="17" t="str">
        <x:v>Critical</x:v>
      </x:c>
      <x:c r="J17" s="17" t="str">
        <x:v>TRN-R001; TRN-R003; TRN-R014</x:v>
      </x:c>
    </x:row>
    <x:row r="18">
      <x:c r="A18" s="17" t="str">
        <x:v>PR.AA-05</x:v>
      </x:c>
      <x:c r="B18" s="17" t="str">
        <x:v>Protect</x:v>
      </x:c>
      <x:c r="C18" s="17" t="str">
        <x:v>Identity Management, Authentication, and Access Control</x:v>
      </x:c>
      <x:c r="D18" s="17" t="str">
        <x:v>Manage permissions using least privilege, separation of duties, and recurring review.</x:v>
      </x:c>
      <x:c r="E18" s="17" t="str">
        <x:v>Partial</x:v>
      </x:c>
      <x:c r="F18" s="17" t="str">
        <x:v>Quarterly reviews and formal privileged-access approval are missing.</x:v>
      </x:c>
      <x:c r="G18" s="17" t="str">
        <x:v>Implement access reviews, privileged-role approval, and evidence retention.</x:v>
      </x:c>
      <x:c r="H18" s="17" t="str">
        <x:v>Cybersecurity / IT</x:v>
      </x:c>
      <x:c r="I18" s="17" t="str">
        <x:v>Critical</x:v>
      </x:c>
      <x:c r="J18" s="17" t="str">
        <x:v>TRN-R003; TRN-R008; TRN-R014</x:v>
      </x:c>
    </x:row>
    <x:row r="19">
      <x:c r="A19" s="17" t="str">
        <x:v>PR.DS-01</x:v>
      </x:c>
      <x:c r="B19" s="17" t="str">
        <x:v>Protect</x:v>
      </x:c>
      <x:c r="C19" s="17" t="str">
        <x:v>Data Security</x:v>
      </x:c>
      <x:c r="D19" s="17" t="str">
        <x:v>Protect sensitive data stored by Trainory and its providers.</x:v>
      </x:c>
      <x:c r="E19" s="17" t="str">
        <x:v>Partial</x:v>
      </x:c>
      <x:c r="F19" s="17" t="str">
        <x:v>Encryption coverage and key-management settings are not fully evidenced.</x:v>
      </x:c>
      <x:c r="G19" s="17" t="str">
        <x:v>Verify encryption coverage, ownership, key rotation, and exception handling.</x:v>
      </x:c>
      <x:c r="H19" s="17" t="str">
        <x:v>IT / Cloud Engineering</x:v>
      </x:c>
      <x:c r="I19" s="17" t="str">
        <x:v>Critical</x:v>
      </x:c>
      <x:c r="J19" s="17" t="str">
        <x:v>TRN-R001; TRN-R002; TRN-R013</x:v>
      </x:c>
    </x:row>
    <x:row r="20">
      <x:c r="A20" s="17" t="str">
        <x:v>PR.DS-02</x:v>
      </x:c>
      <x:c r="B20" s="17" t="str">
        <x:v>Protect</x:v>
      </x:c>
      <x:c r="C20" s="17" t="str">
        <x:v>Data Security</x:v>
      </x:c>
      <x:c r="D20" s="17" t="str">
        <x:v>Protect sensitive data transmitted between users, systems, and vendors.</x:v>
      </x:c>
      <x:c r="E20" s="17" t="str">
        <x:v>Partial</x:v>
      </x:c>
      <x:c r="F20" s="17" t="str">
        <x:v>Transport settings and API token protections need formal review.</x:v>
      </x:c>
      <x:c r="G20" s="17" t="str">
        <x:v>Review TLS settings, API authentication, token storage, and certificate monitoring.</x:v>
      </x:c>
      <x:c r="H20" s="17" t="str">
        <x:v>Software Development</x:v>
      </x:c>
      <x:c r="I20" s="17" t="str">
        <x:v>High</x:v>
      </x:c>
      <x:c r="J20" s="17" t="str">
        <x:v>TRN-R004; TRN-R009; TRN-R010</x:v>
      </x:c>
    </x:row>
    <x:row r="21">
      <x:c r="A21" s="17" t="str">
        <x:v>PR.PS-01</x:v>
      </x:c>
      <x:c r="B21" s="17" t="str">
        <x:v>Protect</x:v>
      </x:c>
      <x:c r="C21" s="17" t="str">
        <x:v>Platform Security</x:v>
      </x:c>
      <x:c r="D21" s="17" t="str">
        <x:v>Establish and maintain approved security configuration practices.</x:v>
      </x:c>
      <x:c r="E21" s="17" t="str">
        <x:v>Not Implemented</x:v>
      </x:c>
      <x:c r="F21" s="17" t="str">
        <x:v>No documented baselines or automated drift detection.</x:v>
      </x:c>
      <x:c r="G21" s="17" t="str">
        <x:v>Create secure baselines and implement cloud configuration monitoring.</x:v>
      </x:c>
      <x:c r="H21" s="17" t="str">
        <x:v>IT / Cloud Engineering</x:v>
      </x:c>
      <x:c r="I21" s="17" t="str">
        <x:v>Critical</x:v>
      </x:c>
      <x:c r="J21" s="17" t="str">
        <x:v>TRN-R002; TRN-R003</x:v>
      </x:c>
    </x:row>
    <x:row r="22">
      <x:c r="A22" s="17" t="str">
        <x:v>PR.PS-02</x:v>
      </x:c>
      <x:c r="B22" s="17" t="str">
        <x:v>Protect</x:v>
      </x:c>
      <x:c r="C22" s="17" t="str">
        <x:v>Platform Security</x:v>
      </x:c>
      <x:c r="D22" s="17" t="str">
        <x:v>Maintain, replace, and remove software according to risk.</x:v>
      </x:c>
      <x:c r="E22" s="17" t="str">
        <x:v>Partial</x:v>
      </x:c>
      <x:c r="F22" s="17" t="str">
        <x:v>Patch deadlines and exception handling are inconsistent.</x:v>
      </x:c>
      <x:c r="G22" s="17" t="str">
        <x:v>Adopt severity-based patch SLAs, compliance reporting, and exception approval.</x:v>
      </x:c>
      <x:c r="H22" s="17" t="str">
        <x:v>IT / Software Development</x:v>
      </x:c>
      <x:c r="I22" s="17" t="str">
        <x:v>Critical</x:v>
      </x:c>
      <x:c r="J22" s="17" t="str">
        <x:v>TRN-R005; TRN-R006</x:v>
      </x:c>
    </x:row>
    <x:row r="23">
      <x:c r="A23" s="17" t="str">
        <x:v>PR.PS-04</x:v>
      </x:c>
      <x:c r="B23" s="17" t="str">
        <x:v>Protect</x:v>
      </x:c>
      <x:c r="C23" s="17" t="str">
        <x:v>Platform Security</x:v>
      </x:c>
      <x:c r="D23" s="17" t="str">
        <x:v>Generate and retain logs needed for continuous monitoring.</x:v>
      </x:c>
      <x:c r="E23" s="17" t="str">
        <x:v>Partial</x:v>
      </x:c>
      <x:c r="F23" s="17" t="str">
        <x:v>Coverage, retention, ownership, and review expectations are incomplete.</x:v>
      </x:c>
      <x:c r="G23" s="17" t="str">
        <x:v>Define required log sources, retention periods, alerts, and review responsibilities.</x:v>
      </x:c>
      <x:c r="H23" s="17" t="str">
        <x:v>Cybersecurity / IT</x:v>
      </x:c>
      <x:c r="I23" s="17" t="str">
        <x:v>High</x:v>
      </x:c>
      <x:c r="J23" s="17" t="str">
        <x:v>TRN-R008; TRN-R012</x:v>
      </x:c>
    </x:row>
    <x:row r="24">
      <x:c r="A24" s="17" t="str">
        <x:v>DE.CM-01</x:v>
      </x:c>
      <x:c r="B24" s="17" t="str">
        <x:v>Detect</x:v>
      </x:c>
      <x:c r="C24" s="17" t="str">
        <x:v>Continuous Monitoring</x:v>
      </x:c>
      <x:c r="D24" s="17" t="str">
        <x:v>Monitor networks and services for potentially adverse activity.</x:v>
      </x:c>
      <x:c r="E24" s="17" t="str">
        <x:v>Partial</x:v>
      </x:c>
      <x:c r="F24" s="17" t="str">
        <x:v>Security alert coverage and response ownership are limited.</x:v>
      </x:c>
      <x:c r="G24" s="17" t="str">
        <x:v>Centralize alerts and monitor authentication, cloud, endpoint, and application events.</x:v>
      </x:c>
      <x:c r="H24" s="17" t="str">
        <x:v>Cybersecurity / IT</x:v>
      </x:c>
      <x:c r="I24" s="17" t="str">
        <x:v>High</x:v>
      </x:c>
      <x:c r="J24" s="17" t="str">
        <x:v>TRN-R001; TRN-R002; TRN-R012; TRN-R015</x:v>
      </x:c>
    </x:row>
    <x:row r="25">
      <x:c r="A25" s="17" t="str">
        <x:v>RS.MA-01</x:v>
      </x:c>
      <x:c r="B25" s="17" t="str">
        <x:v>Respond</x:v>
      </x:c>
      <x:c r="C25" s="17" t="str">
        <x:v>Incident Management</x:v>
      </x:c>
      <x:c r="D25" s="17" t="str">
        <x:v>Execute an incident-response plan when an event is declared.</x:v>
      </x:c>
      <x:c r="E25" s="17" t="str">
        <x:v>Not Implemented</x:v>
      </x:c>
      <x:c r="F25" s="17" t="str">
        <x:v>No approved plan, severity model, roles, or exercise records.</x:v>
      </x:c>
      <x:c r="G25" s="17" t="str">
        <x:v>Create an incident-response plan and conduct a credential-compromise tabletop exercise.</x:v>
      </x:c>
      <x:c r="H25" s="17" t="str">
        <x:v>Cybersecurity / Compliance</x:v>
      </x:c>
      <x:c r="I25" s="17" t="str">
        <x:v>Critical</x:v>
      </x:c>
      <x:c r="J25" s="17" t="str">
        <x:v>TRN-R001; TRN-R005; TRN-R010; TRN-R012</x:v>
      </x:c>
    </x:row>
    <x:row r="26">
      <x:c r="A26" s="18" t="str">
        <x:v>RC.RP-01</x:v>
      </x:c>
      <x:c r="B26" s="18" t="str">
        <x:v>Recover</x:v>
      </x:c>
      <x:c r="C26" s="18" t="str">
        <x:v>Incident Recovery Plan Execution</x:v>
      </x:c>
      <x:c r="D26" s="18" t="str">
        <x:v>Execute a recovery plan and restore critical operations after an incident.</x:v>
      </x:c>
      <x:c r="E26" s="18" t="str">
        <x:v>Partial</x:v>
      </x:c>
      <x:c r="F26" s="18" t="str">
        <x:v>Recovery objectives and restoration testing are not documented.</x:v>
      </x:c>
      <x:c r="G26" s="18" t="str">
        <x:v>Define recovery objectives and test restoration and communication procedures quarterly.</x:v>
      </x:c>
      <x:c r="H26" s="18" t="str">
        <x:v>IT / Cloud Engineering</x:v>
      </x:c>
      <x:c r="I26" s="18" t="str">
        <x:v>Critical</x:v>
      </x:c>
      <x:c r="J26" s="18" t="str">
        <x:v>TRN-R011; TRN-R015</x:v>
      </x:c>
    </x:row>
  </x:sheetData>
  <x:mergeCells>
    <x:mergeCell ref="A1:J1"/>
    <x:mergeCell ref="A2:J2"/>
  </x:mergeCells>
  <x:conditionalFormatting sqref="E5:E26">
    <x:cfRule type="containsText" dxfId="12" priority="1" operator="containsText" text="Critical"/>
    <x:cfRule type="containsText" dxfId="13" priority="2" operator="containsText" text="High"/>
    <x:cfRule type="containsText" dxfId="14" priority="3" operator="containsText" text="Moderate"/>
    <x:cfRule type="containsText" dxfId="15" priority="4" operator="containsText" text="Implemented"/>
    <x:cfRule type="containsText" dxfId="16" priority="5" operator="containsText" text="Retain"/>
    <x:cfRule type="containsText" dxfId="17" priority="6" operator="containsText" text="Yes"/>
  </x:conditionalFormatting>
  <x:conditionalFormatting sqref="I5:I26">
    <x:cfRule type="containsText" dxfId="18" priority="7" operator="containsText" text="Critical"/>
    <x:cfRule type="containsText" dxfId="19" priority="8" operator="containsText" text="High"/>
    <x:cfRule type="containsText" dxfId="20" priority="9" operator="containsText" text="Moderate"/>
    <x:cfRule type="containsText" dxfId="21" priority="10" operator="containsText" text="Implemented"/>
    <x:cfRule type="containsText" dxfId="22" priority="11" operator="containsText" text="Retain"/>
    <x:cfRule type="containsText" dxfId="23" priority="12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edd2c9157b2f42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5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4" hidden="0" customWidth="1"/>
    <x:col min="13" max="13" width="16" hidden="0" customWidth="1"/>
  </x:cols>
  <x:sheetData>
    <x:row r="1" ht="32" customHeight="1">
      <x:c r="A1" s="3" t="str">
        <x:v>Trainory | Vendor Data</x:v>
      </x:c>
      <x:c r="B1" s="3" t="str">
        <x:v>Trainory | Vendor Data</x:v>
      </x:c>
      <x:c r="C1" s="3" t="str">
        <x:v>Trainory | Vendor Data</x:v>
      </x:c>
      <x:c r="D1" s="3" t="str">
        <x:v>Trainory | Vendor Data</x:v>
      </x:c>
      <x:c r="E1" s="3" t="str">
        <x:v>Trainory | Vendor Data</x:v>
      </x:c>
      <x:c r="F1" s="3" t="str">
        <x:v>Trainory | Vendor Data</x:v>
      </x:c>
      <x:c r="G1" s="3" t="str">
        <x:v>Trainory | Vendor Data</x:v>
      </x:c>
      <x:c r="H1" s="3" t="str">
        <x:v>Trainory | Vendor Data</x:v>
      </x:c>
      <x:c r="I1" s="3" t="str">
        <x:v>Trainory | Vendor Data</x:v>
      </x:c>
      <x:c r="J1" s="3" t="str">
        <x:v>Trainory | Vendor Data</x:v>
      </x:c>
      <x:c r="K1" s="3" t="str">
        <x:v>Trainory | Vendor Data</x:v>
      </x:c>
      <x:c r="L1" s="3" t="str">
        <x:v>Trainory | Vendor Data</x:v>
      </x:c>
      <x:c r="M1" s="3" t="str">
        <x:v>Trainory | Vendor Data</x:v>
      </x:c>
    </x:row>
    <x:row r="2" ht="24" customHeight="1">
      <x:c r="A2" s="6" t="str">
        <x:v>Control-level analytics from the VitaSync vendor assessment</x:v>
      </x:c>
      <x:c r="B2" s="6" t="str">
        <x:v>Control-level analytics from the VitaSync vendor assessment</x:v>
      </x:c>
      <x:c r="C2" s="6" t="str">
        <x:v>Control-level analytics from the VitaSync vendor assessment</x:v>
      </x:c>
      <x:c r="D2" s="6" t="str">
        <x:v>Control-level analytics from the VitaSync vendor assessment</x:v>
      </x:c>
      <x:c r="E2" s="6" t="str">
        <x:v>Control-level analytics from the VitaSync vendor assessment</x:v>
      </x:c>
      <x:c r="F2" s="6" t="str">
        <x:v>Control-level analytics from the VitaSync vendor assessment</x:v>
      </x:c>
      <x:c r="G2" s="6" t="str">
        <x:v>Control-level analytics from the VitaSync vendor assessment</x:v>
      </x:c>
      <x:c r="H2" s="6" t="str">
        <x:v>Control-level analytics from the VitaSync vendor assessment</x:v>
      </x:c>
      <x:c r="I2" s="6" t="str">
        <x:v>Control-level analytics from the VitaSync vendor assessment</x:v>
      </x:c>
      <x:c r="J2" s="6" t="str">
        <x:v>Control-level analytics from the VitaSync vendor assessment</x:v>
      </x:c>
      <x:c r="K2" s="6" t="str">
        <x:v>Control-level analytics from the VitaSync vendor assessment</x:v>
      </x:c>
      <x:c r="L2" s="6" t="str">
        <x:v>Control-level analytics from the VitaSync vendor assessment</x:v>
      </x:c>
      <x:c r="M2" s="6" t="str">
        <x:v>Control-level analytics from the VitaSync vendor assessment</x:v>
      </x:c>
    </x:row>
    <x:row r="4" ht="34" customHeight="1">
      <x:c r="A4" s="12" t="str">
        <x:v>Question ID</x:v>
      </x:c>
      <x:c r="B4" s="12" t="str">
        <x:v>Domain</x:v>
      </x:c>
      <x:c r="C4" s="12" t="str">
        <x:v>Control Question</x:v>
      </x:c>
      <x:c r="D4" s="12" t="str">
        <x:v>Weight</x:v>
      </x:c>
      <x:c r="E4" s="12" t="str">
        <x:v>Response</x:v>
      </x:c>
      <x:c r="F4" s="12" t="str">
        <x:v>Evidence Quality</x:v>
      </x:c>
      <x:c r="G4" s="12" t="str">
        <x:v>Response Score</x:v>
      </x:c>
      <x:c r="H4" s="12" t="str">
        <x:v>Weighted Points</x:v>
      </x:c>
      <x:c r="I4" s="12" t="str">
        <x:v>Maximum Points</x:v>
      </x:c>
      <x:c r="J4" s="12" t="str">
        <x:v>Control Score</x:v>
      </x:c>
      <x:c r="K4" s="12" t="str">
        <x:v>Risk Flag</x:v>
      </x:c>
      <x:c r="L4" s="12" t="str">
        <x:v>Owner</x:v>
      </x:c>
      <x:c r="M4" s="12" t="str">
        <x:v>Status</x:v>
      </x:c>
    </x:row>
    <x:row r="5">
      <x:c r="A5" s="17" t="str">
        <x:v>VRM-01</x:v>
      </x:c>
      <x:c r="B5" s="17" t="str">
        <x:v>Governance</x:v>
      </x:c>
      <x:c r="C5" s="17" t="str">
        <x:v>Does the vendor maintain an approved information-security program with assigned accountability?</x:v>
      </x:c>
      <x:c r="D5" s="17" t="n">
        <x:v>5</x:v>
      </x:c>
      <x:c r="E5" s="17" t="str">
        <x:v>Yes</x:v>
      </x:c>
      <x:c r="F5" s="17" t="str">
        <x:v>Moderate</x:v>
      </x:c>
      <x:c r="G5" s="17" t="n">
        <x:v>1</x:v>
      </x:c>
      <x:c r="H5" s="17" t="n">
        <x:v>5</x:v>
      </x:c>
      <x:c r="I5" s="17" t="n">
        <x:v>5</x:v>
      </x:c>
      <x:c r="J5" s="23" t="n">
        <x:v>1</x:v>
      </x:c>
      <x:c r="K5" s="17" t="str">
        <x:v>Low</x:v>
      </x:c>
      <x:c r="L5" s="17" t="str">
        <x:v>Cybersecurity / Compliance</x:v>
      </x:c>
      <x:c r="M5" s="17" t="str">
        <x:v>Complete</x:v>
      </x:c>
    </x:row>
    <x:row r="6">
      <x:c r="A6" s="17" t="str">
        <x:v>VRM-02</x:v>
      </x:c>
      <x:c r="B6" s="17" t="str">
        <x:v>Governance</x:v>
      </x:c>
      <x:c r="C6" s="17" t="str">
        <x:v>Does the vendor complete independent security assessments or certifications at least annually?</x:v>
      </x:c>
      <x:c r="D6" s="17" t="n">
        <x:v>5</x:v>
      </x:c>
      <x:c r="E6" s="17" t="str">
        <x:v>Partial</x:v>
      </x:c>
      <x:c r="F6" s="17" t="str">
        <x:v>Weak</x:v>
      </x:c>
      <x:c r="G6" s="17" t="n">
        <x:v>0.5</x:v>
      </x:c>
      <x:c r="H6" s="17" t="n">
        <x:v>2.5</x:v>
      </x:c>
      <x:c r="I6" s="17" t="n">
        <x:v>5</x:v>
      </x:c>
      <x:c r="J6" s="23" t="n">
        <x:v>0.5</x:v>
      </x:c>
      <x:c r="K6" s="17" t="str">
        <x:v>High</x:v>
      </x:c>
      <x:c r="L6" s="17" t="str">
        <x:v>Vendor Management</x:v>
      </x:c>
      <x:c r="M6" s="17" t="str">
        <x:v>Open</x:v>
      </x:c>
    </x:row>
    <x:row r="7">
      <x:c r="A7" s="17" t="str">
        <x:v>VRM-03</x:v>
      </x:c>
      <x:c r="B7" s="17" t="str">
        <x:v>Governance</x:v>
      </x:c>
      <x:c r="C7" s="17" t="str">
        <x:v>Are security exceptions, risks, and corrective actions formally tracked to closure?</x:v>
      </x:c>
      <x:c r="D7" s="17" t="n">
        <x:v>3</x:v>
      </x:c>
      <x:c r="E7" s="17" t="str">
        <x:v>Partial</x:v>
      </x:c>
      <x:c r="F7" s="17" t="str">
        <x:v>Moderate</x:v>
      </x:c>
      <x:c r="G7" s="17" t="n">
        <x:v>0.5</x:v>
      </x:c>
      <x:c r="H7" s="17" t="n">
        <x:v>1.5</x:v>
      </x:c>
      <x:c r="I7" s="17" t="n">
        <x:v>3</x:v>
      </x:c>
      <x:c r="J7" s="23" t="n">
        <x:v>0.5</x:v>
      </x:c>
      <x:c r="K7" s="17" t="str">
        <x:v>Moderate</x:v>
      </x:c>
      <x:c r="L7" s="17" t="str">
        <x:v>Vendor Management</x:v>
      </x:c>
      <x:c r="M7" s="17" t="str">
        <x:v>In Progress</x:v>
      </x:c>
    </x:row>
    <x:row r="8">
      <x:c r="A8" s="17" t="str">
        <x:v>VRM-04</x:v>
      </x:c>
      <x:c r="B8" s="17" t="str">
        <x:v>Identity &amp; Access</x:v>
      </x:c>
      <x:c r="C8" s="17" t="str">
        <x:v>Is MFA required for administrative and remote access?</x:v>
      </x:c>
      <x:c r="D8" s="17" t="n">
        <x:v>5</x:v>
      </x:c>
      <x:c r="E8" s="17" t="str">
        <x:v>Yes</x:v>
      </x:c>
      <x:c r="F8" s="17" t="str">
        <x:v>Strong</x:v>
      </x:c>
      <x:c r="G8" s="17" t="n">
        <x:v>1</x:v>
      </x:c>
      <x:c r="H8" s="17" t="n">
        <x:v>5</x:v>
      </x:c>
      <x:c r="I8" s="17" t="n">
        <x:v>5</x:v>
      </x:c>
      <x:c r="J8" s="23" t="n">
        <x:v>1</x:v>
      </x:c>
      <x:c r="K8" s="17" t="str">
        <x:v>Low</x:v>
      </x:c>
      <x:c r="L8" s="17" t="str">
        <x:v>Cybersecurity / IT</x:v>
      </x:c>
      <x:c r="M8" s="17" t="str">
        <x:v>Complete</x:v>
      </x:c>
    </x:row>
    <x:row r="9">
      <x:c r="A9" s="17" t="str">
        <x:v>VRM-05</x:v>
      </x:c>
      <x:c r="B9" s="17" t="str">
        <x:v>Identity &amp; Access</x:v>
      </x:c>
      <x:c r="C9" s="17" t="str">
        <x:v>Are privileged permissions limited, separately assigned, and reviewed at least quarterly?</x:v>
      </x:c>
      <x:c r="D9" s="17" t="n">
        <x:v>5</x:v>
      </x:c>
      <x:c r="E9" s="17" t="str">
        <x:v>Partial</x:v>
      </x:c>
      <x:c r="F9" s="17" t="str">
        <x:v>Moderate</x:v>
      </x:c>
      <x:c r="G9" s="17" t="n">
        <x:v>0.5</x:v>
      </x:c>
      <x:c r="H9" s="17" t="n">
        <x:v>2.5</x:v>
      </x:c>
      <x:c r="I9" s="17" t="n">
        <x:v>5</x:v>
      </x:c>
      <x:c r="J9" s="23" t="n">
        <x:v>0.5</x:v>
      </x:c>
      <x:c r="K9" s="17" t="str">
        <x:v>High</x:v>
      </x:c>
      <x:c r="L9" s="17" t="str">
        <x:v>Cybersecurity / IT</x:v>
      </x:c>
      <x:c r="M9" s="17" t="str">
        <x:v>Open</x:v>
      </x:c>
    </x:row>
    <x:row r="10">
      <x:c r="A10" s="17" t="str">
        <x:v>VRM-06</x:v>
      </x:c>
      <x:c r="B10" s="17" t="str">
        <x:v>Identity &amp; Access</x:v>
      </x:c>
      <x:c r="C10" s="17" t="str">
        <x:v>Are joiner, mover, and leaver activities documented and completed promptly?</x:v>
      </x:c>
      <x:c r="D10" s="17" t="n">
        <x:v>4</x:v>
      </x:c>
      <x:c r="E10" s="17" t="str">
        <x:v>Yes</x:v>
      </x:c>
      <x:c r="F10" s="17" t="str">
        <x:v>Moderate</x:v>
      </x:c>
      <x:c r="G10" s="17" t="n">
        <x:v>1</x:v>
      </x:c>
      <x:c r="H10" s="17" t="n">
        <x:v>4</x:v>
      </x:c>
      <x:c r="I10" s="17" t="n">
        <x:v>4</x:v>
      </x:c>
      <x:c r="J10" s="23" t="n">
        <x:v>1</x:v>
      </x:c>
      <x:c r="K10" s="17" t="str">
        <x:v>Low</x:v>
      </x:c>
      <x:c r="L10" s="17" t="str">
        <x:v>Vendor Management</x:v>
      </x:c>
      <x:c r="M10" s="17" t="str">
        <x:v>Complete</x:v>
      </x:c>
    </x:row>
    <x:row r="11">
      <x:c r="A11" s="17" t="str">
        <x:v>VRM-07</x:v>
      </x:c>
      <x:c r="B11" s="17" t="str">
        <x:v>Data Protection</x:v>
      </x:c>
      <x:c r="C11" s="17" t="str">
        <x:v>Is Trainory data encrypted in transit using current protocols?</x:v>
      </x:c>
      <x:c r="D11" s="17" t="n">
        <x:v>5</x:v>
      </x:c>
      <x:c r="E11" s="17" t="str">
        <x:v>Yes</x:v>
      </x:c>
      <x:c r="F11" s="17" t="str">
        <x:v>Strong</x:v>
      </x:c>
      <x:c r="G11" s="17" t="n">
        <x:v>1</x:v>
      </x:c>
      <x:c r="H11" s="17" t="n">
        <x:v>5</x:v>
      </x:c>
      <x:c r="I11" s="17" t="n">
        <x:v>5</x:v>
      </x:c>
      <x:c r="J11" s="23" t="n">
        <x:v>1</x:v>
      </x:c>
      <x:c r="K11" s="17" t="str">
        <x:v>Low</x:v>
      </x:c>
      <x:c r="L11" s="17" t="str">
        <x:v>Software Development</x:v>
      </x:c>
      <x:c r="M11" s="17" t="str">
        <x:v>Complete</x:v>
      </x:c>
    </x:row>
    <x:row r="12">
      <x:c r="A12" s="17" t="str">
        <x:v>VRM-08</x:v>
      </x:c>
      <x:c r="B12" s="17" t="str">
        <x:v>Data Protection</x:v>
      </x:c>
      <x:c r="C12" s="17" t="str">
        <x:v>Is Trainory data encrypted at rest, including backups?</x:v>
      </x:c>
      <x:c r="D12" s="17" t="n">
        <x:v>5</x:v>
      </x:c>
      <x:c r="E12" s="17" t="str">
        <x:v>Yes</x:v>
      </x:c>
      <x:c r="F12" s="17" t="str">
        <x:v>Moderate</x:v>
      </x:c>
      <x:c r="G12" s="17" t="n">
        <x:v>1</x:v>
      </x:c>
      <x:c r="H12" s="17" t="n">
        <x:v>5</x:v>
      </x:c>
      <x:c r="I12" s="17" t="n">
        <x:v>5</x:v>
      </x:c>
      <x:c r="J12" s="23" t="n">
        <x:v>1</x:v>
      </x:c>
      <x:c r="K12" s="17" t="str">
        <x:v>Low</x:v>
      </x:c>
      <x:c r="L12" s="17" t="str">
        <x:v>Cloud Engineering</x:v>
      </x:c>
      <x:c r="M12" s="17" t="str">
        <x:v>In Progress</x:v>
      </x:c>
    </x:row>
    <x:row r="13">
      <x:c r="A13" s="17" t="str">
        <x:v>VRM-09</x:v>
      </x:c>
      <x:c r="B13" s="17" t="str">
        <x:v>Data Protection</x:v>
      </x:c>
      <x:c r="C13" s="17" t="str">
        <x:v>Are tenant data and credentials logically separated?</x:v>
      </x:c>
      <x:c r="D13" s="17" t="n">
        <x:v>5</x:v>
      </x:c>
      <x:c r="E13" s="17" t="str">
        <x:v>Partial</x:v>
      </x:c>
      <x:c r="F13" s="17" t="str">
        <x:v>Moderate</x:v>
      </x:c>
      <x:c r="G13" s="17" t="n">
        <x:v>0.5</x:v>
      </x:c>
      <x:c r="H13" s="17" t="n">
        <x:v>2.5</x:v>
      </x:c>
      <x:c r="I13" s="17" t="n">
        <x:v>5</x:v>
      </x:c>
      <x:c r="J13" s="23" t="n">
        <x:v>0.5</x:v>
      </x:c>
      <x:c r="K13" s="17" t="str">
        <x:v>High</x:v>
      </x:c>
      <x:c r="L13" s="17" t="str">
        <x:v>Software Development</x:v>
      </x:c>
      <x:c r="M13" s="17" t="str">
        <x:v>Open</x:v>
      </x:c>
    </x:row>
    <x:row r="14">
      <x:c r="A14" s="17" t="str">
        <x:v>VRM-10</x:v>
      </x:c>
      <x:c r="B14" s="17" t="str">
        <x:v>Data Protection</x:v>
      </x:c>
      <x:c r="C14" s="17" t="str">
        <x:v>Are secrets and API credentials stored, rotated, and protected from source-code exposure?</x:v>
      </x:c>
      <x:c r="D14" s="17" t="n">
        <x:v>5</x:v>
      </x:c>
      <x:c r="E14" s="17" t="str">
        <x:v>Yes</x:v>
      </x:c>
      <x:c r="F14" s="17" t="str">
        <x:v>Moderate</x:v>
      </x:c>
      <x:c r="G14" s="17" t="n">
        <x:v>1</x:v>
      </x:c>
      <x:c r="H14" s="17" t="n">
        <x:v>5</x:v>
      </x:c>
      <x:c r="I14" s="17" t="n">
        <x:v>5</x:v>
      </x:c>
      <x:c r="J14" s="23" t="n">
        <x:v>1</x:v>
      </x:c>
      <x:c r="K14" s="17" t="str">
        <x:v>Low</x:v>
      </x:c>
      <x:c r="L14" s="17" t="str">
        <x:v>Software Development</x:v>
      </x:c>
      <x:c r="M14" s="17" t="str">
        <x:v>Complete</x:v>
      </x:c>
    </x:row>
    <x:row r="15">
      <x:c r="A15" s="17" t="str">
        <x:v>VRM-11</x:v>
      </x:c>
      <x:c r="B15" s="17" t="str">
        <x:v>Application Security</x:v>
      </x:c>
      <x:c r="C15" s="17" t="str">
        <x:v>Are secure-development requirements, peer review, and protected deployment approvals used?</x:v>
      </x:c>
      <x:c r="D15" s="17" t="n">
        <x:v>4</x:v>
      </x:c>
      <x:c r="E15" s="17" t="str">
        <x:v>Yes</x:v>
      </x:c>
      <x:c r="F15" s="17" t="str">
        <x:v>Moderate</x:v>
      </x:c>
      <x:c r="G15" s="17" t="n">
        <x:v>1</x:v>
      </x:c>
      <x:c r="H15" s="17" t="n">
        <x:v>4</x:v>
      </x:c>
      <x:c r="I15" s="17" t="n">
        <x:v>4</x:v>
      </x:c>
      <x:c r="J15" s="23" t="n">
        <x:v>1</x:v>
      </x:c>
      <x:c r="K15" s="17" t="str">
        <x:v>Low</x:v>
      </x:c>
      <x:c r="L15" s="17" t="str">
        <x:v>Software Development</x:v>
      </x:c>
      <x:c r="M15" s="17" t="str">
        <x:v>Complete</x:v>
      </x:c>
    </x:row>
    <x:row r="16">
      <x:c r="A16" s="17" t="str">
        <x:v>VRM-12</x:v>
      </x:c>
      <x:c r="B16" s="17" t="str">
        <x:v>Application Security</x:v>
      </x:c>
      <x:c r="C16" s="17" t="str">
        <x:v>Are code, dependency, and application vulnerabilities scanned and remediated by severity?</x:v>
      </x:c>
      <x:c r="D16" s="17" t="n">
        <x:v>5</x:v>
      </x:c>
      <x:c r="E16" s="17" t="str">
        <x:v>Partial</x:v>
      </x:c>
      <x:c r="F16" s="17" t="str">
        <x:v>Moderate</x:v>
      </x:c>
      <x:c r="G16" s="17" t="n">
        <x:v>0.5</x:v>
      </x:c>
      <x:c r="H16" s="17" t="n">
        <x:v>2.5</x:v>
      </x:c>
      <x:c r="I16" s="17" t="n">
        <x:v>5</x:v>
      </x:c>
      <x:c r="J16" s="23" t="n">
        <x:v>0.5</x:v>
      </x:c>
      <x:c r="K16" s="17" t="str">
        <x:v>High</x:v>
      </x:c>
      <x:c r="L16" s="17" t="str">
        <x:v>Software Development</x:v>
      </x:c>
      <x:c r="M16" s="17" t="str">
        <x:v>In Progress</x:v>
      </x:c>
    </x:row>
    <x:row r="17">
      <x:c r="A17" s="17" t="str">
        <x:v>VRM-13</x:v>
      </x:c>
      <x:c r="B17" s="17" t="str">
        <x:v>Application Security</x:v>
      </x:c>
      <x:c r="C17" s="17" t="str">
        <x:v>Is independent penetration testing performed annually and after major changes?</x:v>
      </x:c>
      <x:c r="D17" s="17" t="n">
        <x:v>4</x:v>
      </x:c>
      <x:c r="E17" s="17" t="str">
        <x:v>Yes</x:v>
      </x:c>
      <x:c r="F17" s="17" t="str">
        <x:v>Strong</x:v>
      </x:c>
      <x:c r="G17" s="17" t="n">
        <x:v>1</x:v>
      </x:c>
      <x:c r="H17" s="17" t="n">
        <x:v>4</x:v>
      </x:c>
      <x:c r="I17" s="17" t="n">
        <x:v>4</x:v>
      </x:c>
      <x:c r="J17" s="23" t="n">
        <x:v>1</x:v>
      </x:c>
      <x:c r="K17" s="17" t="str">
        <x:v>Low</x:v>
      </x:c>
      <x:c r="L17" s="17" t="str">
        <x:v>Cybersecurity / Compliance</x:v>
      </x:c>
      <x:c r="M17" s="17" t="str">
        <x:v>Complete</x:v>
      </x:c>
    </x:row>
    <x:row r="18">
      <x:c r="A18" s="17" t="str">
        <x:v>VRM-14</x:v>
      </x:c>
      <x:c r="B18" s="17" t="str">
        <x:v>Monitoring &amp; Response</x:v>
      </x:c>
      <x:c r="C18" s="17" t="str">
        <x:v>Are authentication, administrative, API, and data-access events centrally logged and monitored?</x:v>
      </x:c>
      <x:c r="D18" s="17" t="n">
        <x:v>5</x:v>
      </x:c>
      <x:c r="E18" s="17" t="str">
        <x:v>Partial</x:v>
      </x:c>
      <x:c r="F18" s="17" t="str">
        <x:v>Moderate</x:v>
      </x:c>
      <x:c r="G18" s="17" t="n">
        <x:v>0.5</x:v>
      </x:c>
      <x:c r="H18" s="17" t="n">
        <x:v>2.5</x:v>
      </x:c>
      <x:c r="I18" s="17" t="n">
        <x:v>5</x:v>
      </x:c>
      <x:c r="J18" s="23" t="n">
        <x:v>0.5</x:v>
      </x:c>
      <x:c r="K18" s="17" t="str">
        <x:v>High</x:v>
      </x:c>
      <x:c r="L18" s="17" t="str">
        <x:v>Cybersecurity / IT</x:v>
      </x:c>
      <x:c r="M18" s="17" t="str">
        <x:v>Open</x:v>
      </x:c>
    </x:row>
    <x:row r="19">
      <x:c r="A19" s="17" t="str">
        <x:v>VRM-15</x:v>
      </x:c>
      <x:c r="B19" s="17" t="str">
        <x:v>Monitoring &amp; Response</x:v>
      </x:c>
      <x:c r="C19" s="17" t="str">
        <x:v>Does the vendor maintain and exercise an incident-response plan?</x:v>
      </x:c>
      <x:c r="D19" s="17" t="n">
        <x:v>5</x:v>
      </x:c>
      <x:c r="E19" s="17" t="str">
        <x:v>Yes</x:v>
      </x:c>
      <x:c r="F19" s="17" t="str">
        <x:v>Strong</x:v>
      </x:c>
      <x:c r="G19" s="17" t="n">
        <x:v>1</x:v>
      </x:c>
      <x:c r="H19" s="17" t="n">
        <x:v>5</x:v>
      </x:c>
      <x:c r="I19" s="17" t="n">
        <x:v>5</x:v>
      </x:c>
      <x:c r="J19" s="23" t="n">
        <x:v>1</x:v>
      </x:c>
      <x:c r="K19" s="17" t="str">
        <x:v>Low</x:v>
      </x:c>
      <x:c r="L19" s="17" t="str">
        <x:v>Cybersecurity / Compliance</x:v>
      </x:c>
      <x:c r="M19" s="17" t="str">
        <x:v>Complete</x:v>
      </x:c>
    </x:row>
    <x:row r="20">
      <x:c r="A20" s="17" t="str">
        <x:v>VRM-16</x:v>
      </x:c>
      <x:c r="B20" s="17" t="str">
        <x:v>Monitoring &amp; Response</x:v>
      </x:c>
      <x:c r="C20" s="17" t="str">
        <x:v>Will the vendor contractually notify Trainory promptly of relevant security incidents?</x:v>
      </x:c>
      <x:c r="D20" s="17" t="n">
        <x:v>5</x:v>
      </x:c>
      <x:c r="E20" s="17" t="str">
        <x:v>Partial</x:v>
      </x:c>
      <x:c r="F20" s="17" t="str">
        <x:v>Weak</x:v>
      </x:c>
      <x:c r="G20" s="17" t="n">
        <x:v>0.5</x:v>
      </x:c>
      <x:c r="H20" s="17" t="n">
        <x:v>2.5</x:v>
      </x:c>
      <x:c r="I20" s="17" t="n">
        <x:v>5</x:v>
      </x:c>
      <x:c r="J20" s="23" t="n">
        <x:v>0.5</x:v>
      </x:c>
      <x:c r="K20" s="17" t="str">
        <x:v>High</x:v>
      </x:c>
      <x:c r="L20" s="17" t="str">
        <x:v>Privacy / Legal</x:v>
      </x:c>
      <x:c r="M20" s="17" t="str">
        <x:v>Open</x:v>
      </x:c>
    </x:row>
    <x:row r="21">
      <x:c r="A21" s="17" t="str">
        <x:v>VRM-17</x:v>
      </x:c>
      <x:c r="B21" s="17" t="str">
        <x:v>Resilience</x:v>
      </x:c>
      <x:c r="C21" s="17" t="str">
        <x:v>Are backup scope, frequency, isolation, and restoration responsibilities documented?</x:v>
      </x:c>
      <x:c r="D21" s="17" t="n">
        <x:v>5</x:v>
      </x:c>
      <x:c r="E21" s="17" t="str">
        <x:v>Yes</x:v>
      </x:c>
      <x:c r="F21" s="17" t="str">
        <x:v>Moderate</x:v>
      </x:c>
      <x:c r="G21" s="17" t="n">
        <x:v>1</x:v>
      </x:c>
      <x:c r="H21" s="17" t="n">
        <x:v>5</x:v>
      </x:c>
      <x:c r="I21" s="17" t="n">
        <x:v>5</x:v>
      </x:c>
      <x:c r="J21" s="23" t="n">
        <x:v>1</x:v>
      </x:c>
      <x:c r="K21" s="17" t="str">
        <x:v>Low</x:v>
      </x:c>
      <x:c r="L21" s="17" t="str">
        <x:v>Cloud Engineering</x:v>
      </x:c>
      <x:c r="M21" s="17" t="str">
        <x:v>In Progress</x:v>
      </x:c>
    </x:row>
    <x:row r="22">
      <x:c r="A22" s="17" t="str">
        <x:v>VRM-18</x:v>
      </x:c>
      <x:c r="B22" s="17" t="str">
        <x:v>Resilience</x:v>
      </x:c>
      <x:c r="C22" s="17" t="str">
        <x:v>Has the vendor tested disaster recovery and provided results against recovery objectives?</x:v>
      </x:c>
      <x:c r="D22" s="17" t="n">
        <x:v>5</x:v>
      </x:c>
      <x:c r="E22" s="17" t="str">
        <x:v>No</x:v>
      </x:c>
      <x:c r="F22" s="17" t="str">
        <x:v>None</x:v>
      </x:c>
      <x:c r="G22" s="17" t="n">
        <x:v>0</x:v>
      </x:c>
      <x:c r="H22" s="17" t="n">
        <x:v>0</x:v>
      </x:c>
      <x:c r="I22" s="17" t="n">
        <x:v>5</x:v>
      </x:c>
      <x:c r="J22" s="23" t="n">
        <x:v>0</x:v>
      </x:c>
      <x:c r="K22" s="17" t="str">
        <x:v>High</x:v>
      </x:c>
      <x:c r="L22" s="17" t="str">
        <x:v>Vendor Management</x:v>
      </x:c>
      <x:c r="M22" s="17" t="str">
        <x:v>Open</x:v>
      </x:c>
    </x:row>
    <x:row r="23">
      <x:c r="A23" s="17" t="str">
        <x:v>VRM-19</x:v>
      </x:c>
      <x:c r="B23" s="17" t="str">
        <x:v>Resilience</x:v>
      </x:c>
      <x:c r="C23" s="17" t="str">
        <x:v>Are uptime commitments, escalation contacts, and continuity procedures contractually defined?</x:v>
      </x:c>
      <x:c r="D23" s="17" t="n">
        <x:v>4</x:v>
      </x:c>
      <x:c r="E23" s="17" t="str">
        <x:v>Partial</x:v>
      </x:c>
      <x:c r="F23" s="17" t="str">
        <x:v>Moderate</x:v>
      </x:c>
      <x:c r="G23" s="17" t="n">
        <x:v>0.5</x:v>
      </x:c>
      <x:c r="H23" s="17" t="n">
        <x:v>2</x:v>
      </x:c>
      <x:c r="I23" s="17" t="n">
        <x:v>4</x:v>
      </x:c>
      <x:c r="J23" s="23" t="n">
        <x:v>0.5</x:v>
      </x:c>
      <x:c r="K23" s="17" t="str">
        <x:v>Moderate</x:v>
      </x:c>
      <x:c r="L23" s="17" t="str">
        <x:v>Product Management</x:v>
      </x:c>
      <x:c r="M23" s="17" t="str">
        <x:v>In Progress</x:v>
      </x:c>
    </x:row>
    <x:row r="24">
      <x:c r="A24" s="17" t="str">
        <x:v>VRM-20</x:v>
      </x:c>
      <x:c r="B24" s="17" t="str">
        <x:v>Privacy</x:v>
      </x:c>
      <x:c r="C24" s="17" t="str">
        <x:v>Are collection, use, sharing, and consent responsibilities defined for wellness data?</x:v>
      </x:c>
      <x:c r="D24" s="17" t="n">
        <x:v>5</x:v>
      </x:c>
      <x:c r="E24" s="17" t="str">
        <x:v>Yes</x:v>
      </x:c>
      <x:c r="F24" s="17" t="str">
        <x:v>Moderate</x:v>
      </x:c>
      <x:c r="G24" s="17" t="n">
        <x:v>1</x:v>
      </x:c>
      <x:c r="H24" s="17" t="n">
        <x:v>5</x:v>
      </x:c>
      <x:c r="I24" s="17" t="n">
        <x:v>5</x:v>
      </x:c>
      <x:c r="J24" s="23" t="n">
        <x:v>1</x:v>
      </x:c>
      <x:c r="K24" s="17" t="str">
        <x:v>Low</x:v>
      </x:c>
      <x:c r="L24" s="17" t="str">
        <x:v>Privacy / Legal</x:v>
      </x:c>
      <x:c r="M24" s="17" t="str">
        <x:v>Complete</x:v>
      </x:c>
    </x:row>
    <x:row r="25">
      <x:c r="A25" s="17" t="str">
        <x:v>VRM-21</x:v>
      </x:c>
      <x:c r="B25" s="17" t="str">
        <x:v>Privacy</x:v>
      </x:c>
      <x:c r="C25" s="17" t="str">
        <x:v>Are retention periods and secure deletion requirements defined and verifiable?</x:v>
      </x:c>
      <x:c r="D25" s="17" t="n">
        <x:v>5</x:v>
      </x:c>
      <x:c r="E25" s="17" t="str">
        <x:v>No</x:v>
      </x:c>
      <x:c r="F25" s="17" t="str">
        <x:v>None</x:v>
      </x:c>
      <x:c r="G25" s="17" t="n">
        <x:v>0</x:v>
      </x:c>
      <x:c r="H25" s="17" t="n">
        <x:v>0</x:v>
      </x:c>
      <x:c r="I25" s="17" t="n">
        <x:v>5</x:v>
      </x:c>
      <x:c r="J25" s="23" t="n">
        <x:v>0</x:v>
      </x:c>
      <x:c r="K25" s="17" t="str">
        <x:v>High</x:v>
      </x:c>
      <x:c r="L25" s="17" t="str">
        <x:v>Privacy / Legal</x:v>
      </x:c>
      <x:c r="M25" s="17" t="str">
        <x:v>Open</x:v>
      </x:c>
    </x:row>
    <x:row r="26">
      <x:c r="A26" s="17" t="str">
        <x:v>VRM-22</x:v>
      </x:c>
      <x:c r="B26" s="17" t="str">
        <x:v>Privacy</x:v>
      </x:c>
      <x:c r="C26" s="17" t="str">
        <x:v>Can the vendor support access, correction, export, and deletion requests?</x:v>
      </x:c>
      <x:c r="D26" s="17" t="n">
        <x:v>4</x:v>
      </x:c>
      <x:c r="E26" s="17" t="str">
        <x:v>Partial</x:v>
      </x:c>
      <x:c r="F26" s="17" t="str">
        <x:v>Moderate</x:v>
      </x:c>
      <x:c r="G26" s="17" t="n">
        <x:v>0.5</x:v>
      </x:c>
      <x:c r="H26" s="17" t="n">
        <x:v>2</x:v>
      </x:c>
      <x:c r="I26" s="17" t="n">
        <x:v>4</x:v>
      </x:c>
      <x:c r="J26" s="23" t="n">
        <x:v>0.5</x:v>
      </x:c>
      <x:c r="K26" s="17" t="str">
        <x:v>Moderate</x:v>
      </x:c>
      <x:c r="L26" s="17" t="str">
        <x:v>Privacy / Legal</x:v>
      </x:c>
      <x:c r="M26" s="17" t="str">
        <x:v>In Progress</x:v>
      </x:c>
    </x:row>
    <x:row r="27">
      <x:c r="A27" s="17" t="str">
        <x:v>VRM-23</x:v>
      </x:c>
      <x:c r="B27" s="17" t="str">
        <x:v>Third Parties</x:v>
      </x:c>
      <x:c r="C27" s="17" t="str">
        <x:v>Does the vendor maintain and disclose subprocessors that may access Trainory data?</x:v>
      </x:c>
      <x:c r="D27" s="17" t="n">
        <x:v>4</x:v>
      </x:c>
      <x:c r="E27" s="17" t="str">
        <x:v>Yes</x:v>
      </x:c>
      <x:c r="F27" s="17" t="str">
        <x:v>Moderate</x:v>
      </x:c>
      <x:c r="G27" s="17" t="n">
        <x:v>1</x:v>
      </x:c>
      <x:c r="H27" s="17" t="n">
        <x:v>4</x:v>
      </x:c>
      <x:c r="I27" s="17" t="n">
        <x:v>4</x:v>
      </x:c>
      <x:c r="J27" s="23" t="n">
        <x:v>1</x:v>
      </x:c>
      <x:c r="K27" s="17" t="str">
        <x:v>Low</x:v>
      </x:c>
      <x:c r="L27" s="17" t="str">
        <x:v>Vendor Management</x:v>
      </x:c>
      <x:c r="M27" s="17" t="str">
        <x:v>Complete</x:v>
      </x:c>
    </x:row>
    <x:row r="28">
      <x:c r="A28" s="17" t="str">
        <x:v>VRM-24</x:v>
      </x:c>
      <x:c r="B28" s="17" t="str">
        <x:v>Third Parties</x:v>
      </x:c>
      <x:c r="C28" s="17" t="str">
        <x:v>Are subprocessors subject to security, privacy, and incident-notification obligations?</x:v>
      </x:c>
      <x:c r="D28" s="17" t="n">
        <x:v>4</x:v>
      </x:c>
      <x:c r="E28" s="17" t="str">
        <x:v>Partial</x:v>
      </x:c>
      <x:c r="F28" s="17" t="str">
        <x:v>Weak</x:v>
      </x:c>
      <x:c r="G28" s="17" t="n">
        <x:v>0.5</x:v>
      </x:c>
      <x:c r="H28" s="17" t="n">
        <x:v>2</x:v>
      </x:c>
      <x:c r="I28" s="17" t="n">
        <x:v>4</x:v>
      </x:c>
      <x:c r="J28" s="23" t="n">
        <x:v>0.5</x:v>
      </x:c>
      <x:c r="K28" s="17" t="str">
        <x:v>Moderate</x:v>
      </x:c>
      <x:c r="L28" s="17" t="str">
        <x:v>Privacy / Legal</x:v>
      </x:c>
      <x:c r="M28" s="17" t="str">
        <x:v>Open</x:v>
      </x:c>
    </x:row>
    <x:row r="29">
      <x:c r="A29" s="18" t="str">
        <x:v>VRM-25</x:v>
      </x:c>
      <x:c r="B29" s="18" t="str">
        <x:v>Third Parties</x:v>
      </x:c>
      <x:c r="C29" s="18" t="str">
        <x:v>Does the agreement permit assurance review, evidence requests, and termination for material security failure?</x:v>
      </x:c>
      <x:c r="D29" s="18" t="n">
        <x:v>5</x:v>
      </x:c>
      <x:c r="E29" s="18" t="str">
        <x:v>Partial</x:v>
      </x:c>
      <x:c r="F29" s="18" t="str">
        <x:v>Moderate</x:v>
      </x:c>
      <x:c r="G29" s="18" t="n">
        <x:v>0.5</x:v>
      </x:c>
      <x:c r="H29" s="18" t="n">
        <x:v>2.5</x:v>
      </x:c>
      <x:c r="I29" s="18" t="n">
        <x:v>5</x:v>
      </x:c>
      <x:c r="J29" s="24" t="n">
        <x:v>0.5</x:v>
      </x:c>
      <x:c r="K29" s="18" t="str">
        <x:v>High</x:v>
      </x:c>
      <x:c r="L29" s="18" t="str">
        <x:v>Privacy / Legal</x:v>
      </x:c>
      <x:c r="M29" s="18" t="str">
        <x:v>Open</x:v>
      </x:c>
    </x:row>
  </x:sheetData>
  <x:mergeCells>
    <x:mergeCell ref="A1:M1"/>
    <x:mergeCell ref="A2:M2"/>
  </x:mergeCells>
  <x:conditionalFormatting sqref="K5:K29">
    <x:cfRule type="containsText" dxfId="24" priority="1" operator="containsText" text="Critical"/>
    <x:cfRule type="containsText" dxfId="25" priority="2" operator="containsText" text="High"/>
    <x:cfRule type="containsText" dxfId="26" priority="3" operator="containsText" text="Moderate"/>
    <x:cfRule type="containsText" dxfId="27" priority="4" operator="containsText" text="Implemented"/>
    <x:cfRule type="containsText" dxfId="28" priority="5" operator="containsText" text="Retain"/>
    <x:cfRule type="containsText" dxfId="29" priority="6" operator="containsText" text="Yes"/>
  </x:conditionalFormatting>
  <x:conditionalFormatting sqref="M5:M29">
    <x:cfRule type="containsText" dxfId="30" priority="7" operator="containsText" text="Critical"/>
    <x:cfRule type="containsText" dxfId="31" priority="8" operator="containsText" text="High"/>
    <x:cfRule type="containsText" dxfId="32" priority="9" operator="containsText" text="Moderate"/>
    <x:cfRule type="containsText" dxfId="33" priority="10" operator="containsText" text="Implemented"/>
    <x:cfRule type="containsText" dxfId="34" priority="11" operator="containsText" text="Retain"/>
    <x:cfRule type="containsText" dxfId="35" priority="12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a9af5b672cf740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32" customHeight="1">
      <x:c r="A1" s="3" t="str">
        <x:v>Trainory | Access Data</x:v>
      </x:c>
      <x:c r="B1" s="3" t="str">
        <x:v>Trainory | Access Data</x:v>
      </x:c>
      <x:c r="C1" s="3" t="str">
        <x:v>Trainory | Access Data</x:v>
      </x:c>
      <x:c r="D1" s="3" t="str">
        <x:v>Trainory | Access Data</x:v>
      </x:c>
      <x:c r="E1" s="3" t="str">
        <x:v>Trainory | Access Data</x:v>
      </x:c>
      <x:c r="F1" s="3" t="str">
        <x:v>Trainory | Access Data</x:v>
      </x:c>
      <x:c r="G1" s="3" t="str">
        <x:v>Trainory | Access Data</x:v>
      </x:c>
      <x:c r="H1" s="3" t="str">
        <x:v>Trainory | Access Data</x:v>
      </x:c>
      <x:c r="I1" s="3" t="str">
        <x:v>Trainory | Access Data</x:v>
      </x:c>
      <x:c r="J1" s="3" t="str">
        <x:v>Trainory | Access Data</x:v>
      </x:c>
      <x:c r="K1" s="3" t="str">
        <x:v>Trainory | Access Data</x:v>
      </x:c>
      <x:c r="L1" s="3" t="str">
        <x:v>Trainory | Access Data</x:v>
      </x:c>
      <x:c r="M1" s="3" t="str">
        <x:v>Trainory | Access Data</x:v>
      </x:c>
      <x:c r="N1" s="3" t="str">
        <x:v>Trainory | Access Data</x:v>
      </x:c>
      <x:c r="O1" s="3" t="str">
        <x:v>Trainory | Access Data</x:v>
      </x:c>
    </x:row>
    <x:row r="2" ht="24" customHeight="1">
      <x:c r="A2" s="6" t="str">
        <x:v>Decision-level analytics from the quarterly access review</x:v>
      </x:c>
      <x:c r="B2" s="6" t="str">
        <x:v>Decision-level analytics from the quarterly access review</x:v>
      </x:c>
      <x:c r="C2" s="6" t="str">
        <x:v>Decision-level analytics from the quarterly access review</x:v>
      </x:c>
      <x:c r="D2" s="6" t="str">
        <x:v>Decision-level analytics from the quarterly access review</x:v>
      </x:c>
      <x:c r="E2" s="6" t="str">
        <x:v>Decision-level analytics from the quarterly access review</x:v>
      </x:c>
      <x:c r="F2" s="6" t="str">
        <x:v>Decision-level analytics from the quarterly access review</x:v>
      </x:c>
      <x:c r="G2" s="6" t="str">
        <x:v>Decision-level analytics from the quarterly access review</x:v>
      </x:c>
      <x:c r="H2" s="6" t="str">
        <x:v>Decision-level analytics from the quarterly access review</x:v>
      </x:c>
      <x:c r="I2" s="6" t="str">
        <x:v>Decision-level analytics from the quarterly access review</x:v>
      </x:c>
      <x:c r="J2" s="6" t="str">
        <x:v>Decision-level analytics from the quarterly access review</x:v>
      </x:c>
      <x:c r="K2" s="6" t="str">
        <x:v>Decision-level analytics from the quarterly access review</x:v>
      </x:c>
      <x:c r="L2" s="6" t="str">
        <x:v>Decision-level analytics from the quarterly access review</x:v>
      </x:c>
      <x:c r="M2" s="6" t="str">
        <x:v>Decision-level analytics from the quarterly access review</x:v>
      </x:c>
      <x:c r="N2" s="6" t="str">
        <x:v>Decision-level analytics from the quarterly access review</x:v>
      </x:c>
      <x:c r="O2" s="6" t="str">
        <x:v>Decision-level analytics from the quarterly access review</x:v>
      </x:c>
    </x:row>
    <x:row r="4" ht="34" customHeight="1">
      <x:c r="A4" s="12" t="str">
        <x:v>Record ID</x:v>
      </x:c>
      <x:c r="B4" s="12" t="str">
        <x:v>Name / Account</x:v>
      </x:c>
      <x:c r="C4" s="12" t="str">
        <x:v>Account Type</x:v>
      </x:c>
      <x:c r="D4" s="12" t="str">
        <x:v>Department</x:v>
      </x:c>
      <x:c r="E4" s="12" t="str">
        <x:v>Employment Status</x:v>
      </x:c>
      <x:c r="F4" s="12" t="str">
        <x:v>System</x:v>
      </x:c>
      <x:c r="G4" s="12" t="str">
        <x:v>Privilege Level</x:v>
      </x:c>
      <x:c r="H4" s="12" t="str">
        <x:v>Data Access</x:v>
      </x:c>
      <x:c r="I4" s="12" t="str">
        <x:v>MFA</x:v>
      </x:c>
      <x:c r="J4" s="12" t="str">
        <x:v>Current Need?</x:v>
      </x:c>
      <x:c r="K4" s="12" t="str">
        <x:v>Reviewer Decision</x:v>
      </x:c>
      <x:c r="L4" s="12" t="str">
        <x:v>Exception?</x:v>
      </x:c>
      <x:c r="M4" s="12" t="str">
        <x:v>Action Owner</x:v>
      </x:c>
      <x:c r="N4" s="12" t="str">
        <x:v>Due Date</x:v>
      </x:c>
      <x:c r="O4" s="12" t="str">
        <x:v>Remediation Status</x:v>
      </x:c>
    </x:row>
    <x:row r="5">
      <x:c r="A5" s="17" t="str">
        <x:v>AR-001</x:v>
      </x:c>
      <x:c r="B5" s="17" t="str">
        <x:v>Maya Chen</x:v>
      </x:c>
      <x:c r="C5" s="17" t="str">
        <x:v>Employee</x:v>
      </x:c>
      <x:c r="D5" s="17" t="str">
        <x:v>Product</x:v>
      </x:c>
      <x:c r="E5" s="17" t="str">
        <x:v>Active</x:v>
      </x:c>
      <x:c r="F5" s="17" t="str">
        <x:v>Microsoft 365</x:v>
      </x:c>
      <x:c r="G5" s="17" t="str">
        <x:v>Standard</x:v>
      </x:c>
      <x:c r="H5" s="17" t="str">
        <x:v>Internal</x:v>
      </x:c>
      <x:c r="I5" s="17" t="str">
        <x:v>Yes</x:v>
      </x:c>
      <x:c r="J5" s="17" t="str">
        <x:v>Yes</x:v>
      </x:c>
      <x:c r="K5" s="17" t="str">
        <x:v>Retain</x:v>
      </x:c>
      <x:c r="L5" s="17" t="str">
        <x:v>No</x:v>
      </x:c>
      <x:c r="M5" s="17" t="str">
        <x:v>Product Management</x:v>
      </x:c>
      <x:c r="N5" s="21"/>
      <x:c r="O5" s="17" t="str">
        <x:v>Not Required</x:v>
      </x:c>
    </x:row>
    <x:row r="6">
      <x:c r="A6" s="17" t="str">
        <x:v>AR-002</x:v>
      </x:c>
      <x:c r="B6" s="17" t="str">
        <x:v>Maya Chen</x:v>
      </x:c>
      <x:c r="C6" s="17" t="str">
        <x:v>Employee</x:v>
      </x:c>
      <x:c r="D6" s="17" t="str">
        <x:v>Product</x:v>
      </x:c>
      <x:c r="E6" s="17" t="str">
        <x:v>Active</x:v>
      </x:c>
      <x:c r="F6" s="17" t="str">
        <x:v>Jira / Product Workspace</x:v>
      </x:c>
      <x:c r="G6" s="17" t="str">
        <x:v>Elevated</x:v>
      </x:c>
      <x:c r="H6" s="17" t="str">
        <x:v>Internal</x:v>
      </x:c>
      <x:c r="I6" s="17" t="str">
        <x:v>Yes</x:v>
      </x:c>
      <x:c r="J6" s="17" t="str">
        <x:v>Yes</x:v>
      </x:c>
      <x:c r="K6" s="17" t="str">
        <x:v>Retain</x:v>
      </x:c>
      <x:c r="L6" s="17" t="str">
        <x:v>No</x:v>
      </x:c>
      <x:c r="M6" s="17" t="str">
        <x:v>Product Management</x:v>
      </x:c>
      <x:c r="N6" s="21"/>
      <x:c r="O6" s="17" t="str">
        <x:v>Not Required</x:v>
      </x:c>
    </x:row>
    <x:row r="7">
      <x:c r="A7" s="17" t="str">
        <x:v>AR-003</x:v>
      </x:c>
      <x:c r="B7" s="17" t="str">
        <x:v>Liam Brooks</x:v>
      </x:c>
      <x:c r="C7" s="17" t="str">
        <x:v>Employee</x:v>
      </x:c>
      <x:c r="D7" s="17" t="str">
        <x:v>Software Development</x:v>
      </x:c>
      <x:c r="E7" s="17" t="str">
        <x:v>Active</x:v>
      </x:c>
      <x:c r="F7" s="17" t="str">
        <x:v>GitHub</x:v>
      </x:c>
      <x:c r="G7" s="17" t="str">
        <x:v>Elevated</x:v>
      </x:c>
      <x:c r="H7" s="17" t="str">
        <x:v>Confidential</x:v>
      </x:c>
      <x:c r="I7" s="17" t="str">
        <x:v>Yes</x:v>
      </x:c>
      <x:c r="J7" s="17" t="str">
        <x:v>Yes</x:v>
      </x:c>
      <x:c r="K7" s="17" t="str">
        <x:v>Retain</x:v>
      </x:c>
      <x:c r="L7" s="17" t="str">
        <x:v>No</x:v>
      </x:c>
      <x:c r="M7" s="17" t="str">
        <x:v>Software Development</x:v>
      </x:c>
      <x:c r="N7" s="21"/>
      <x:c r="O7" s="17" t="str">
        <x:v>Not Required</x:v>
      </x:c>
    </x:row>
    <x:row r="8">
      <x:c r="A8" s="17" t="str">
        <x:v>AR-004</x:v>
      </x:c>
      <x:c r="B8" s="17" t="str">
        <x:v>Liam Brooks</x:v>
      </x:c>
      <x:c r="C8" s="17" t="str">
        <x:v>Employee</x:v>
      </x:c>
      <x:c r="D8" s="17" t="str">
        <x:v>Software Development</x:v>
      </x:c>
      <x:c r="E8" s="17" t="str">
        <x:v>Active</x:v>
      </x:c>
      <x:c r="F8" s="17" t="str">
        <x:v>AWS Production</x:v>
      </x:c>
      <x:c r="G8" s="17" t="str">
        <x:v>Privileged</x:v>
      </x:c>
      <x:c r="H8" s="17" t="str">
        <x:v>Restricted</x:v>
      </x:c>
      <x:c r="I8" s="17" t="str">
        <x:v>Yes</x:v>
      </x:c>
      <x:c r="J8" s="17" t="str">
        <x:v>Partial</x:v>
      </x:c>
      <x:c r="K8" s="17" t="str">
        <x:v>Modify</x:v>
      </x:c>
      <x:c r="L8" s="17" t="str">
        <x:v>Yes</x:v>
      </x:c>
      <x:c r="M8" s="17" t="str">
        <x:v>Cloud Engineering</x:v>
      </x:c>
      <x:c r="N8" s="21" t="n">
        <x:v>46303</x:v>
      </x:c>
      <x:c r="O8" s="17" t="str">
        <x:v>Open</x:v>
      </x:c>
    </x:row>
    <x:row r="9">
      <x:c r="A9" s="17" t="str">
        <x:v>AR-005</x:v>
      </x:c>
      <x:c r="B9" s="17" t="str">
        <x:v>Liam Brooks</x:v>
      </x:c>
      <x:c r="C9" s="17" t="str">
        <x:v>Employee</x:v>
      </x:c>
      <x:c r="D9" s="17" t="str">
        <x:v>Software Development</x:v>
      </x:c>
      <x:c r="E9" s="17" t="str">
        <x:v>Active</x:v>
      </x:c>
      <x:c r="F9" s="17" t="str">
        <x:v>Customer Database</x:v>
      </x:c>
      <x:c r="G9" s="17" t="str">
        <x:v>Elevated</x:v>
      </x:c>
      <x:c r="H9" s="17" t="str">
        <x:v>Restricted</x:v>
      </x:c>
      <x:c r="I9" s="17" t="str">
        <x:v>Yes</x:v>
      </x:c>
      <x:c r="J9" s="17" t="str">
        <x:v>No</x:v>
      </x:c>
      <x:c r="K9" s="17" t="str">
        <x:v>Remove</x:v>
      </x:c>
      <x:c r="L9" s="17" t="str">
        <x:v>Yes</x:v>
      </x:c>
      <x:c r="M9" s="17" t="str">
        <x:v>Database Owner</x:v>
      </x:c>
      <x:c r="N9" s="21" t="n">
        <x:v>46298</x:v>
      </x:c>
      <x:c r="O9" s="17" t="str">
        <x:v>Open</x:v>
      </x:c>
    </x:row>
    <x:row r="10">
      <x:c r="A10" s="17" t="str">
        <x:v>AR-006</x:v>
      </x:c>
      <x:c r="B10" s="17" t="str">
        <x:v>Aisha Patel</x:v>
      </x:c>
      <x:c r="C10" s="17" t="str">
        <x:v>Employee</x:v>
      </x:c>
      <x:c r="D10" s="17" t="str">
        <x:v>Cybersecurity</x:v>
      </x:c>
      <x:c r="E10" s="17" t="str">
        <x:v>Active</x:v>
      </x:c>
      <x:c r="F10" s="17" t="str">
        <x:v>Microsoft 365</x:v>
      </x:c>
      <x:c r="G10" s="17" t="str">
        <x:v>Standard</x:v>
      </x:c>
      <x:c r="H10" s="17" t="str">
        <x:v>Internal</x:v>
      </x:c>
      <x:c r="I10" s="17" t="str">
        <x:v>Yes</x:v>
      </x:c>
      <x:c r="J10" s="17" t="str">
        <x:v>Yes</x:v>
      </x:c>
      <x:c r="K10" s="17" t="str">
        <x:v>Retain</x:v>
      </x:c>
      <x:c r="L10" s="17" t="str">
        <x:v>No</x:v>
      </x:c>
      <x:c r="M10" s="17" t="str">
        <x:v>Cybersecurity / IT</x:v>
      </x:c>
      <x:c r="N10" s="21"/>
      <x:c r="O10" s="17" t="str">
        <x:v>Not Required</x:v>
      </x:c>
    </x:row>
    <x:row r="11">
      <x:c r="A11" s="17" t="str">
        <x:v>AR-007</x:v>
      </x:c>
      <x:c r="B11" s="17" t="str">
        <x:v>Aisha Patel</x:v>
      </x:c>
      <x:c r="C11" s="17" t="str">
        <x:v>Employee</x:v>
      </x:c>
      <x:c r="D11" s="17" t="str">
        <x:v>Cybersecurity</x:v>
      </x:c>
      <x:c r="E11" s="17" t="str">
        <x:v>Active</x:v>
      </x:c>
      <x:c r="F11" s="17" t="str">
        <x:v>Security Monitoring</x:v>
      </x:c>
      <x:c r="G11" s="17" t="str">
        <x:v>Privileged</x:v>
      </x:c>
      <x:c r="H11" s="17" t="str">
        <x:v>Confidential</x:v>
      </x:c>
      <x:c r="I11" s="17" t="str">
        <x:v>Yes</x:v>
      </x:c>
      <x:c r="J11" s="17" t="str">
        <x:v>Yes</x:v>
      </x:c>
      <x:c r="K11" s="17" t="str">
        <x:v>Retain</x:v>
      </x:c>
      <x:c r="L11" s="17" t="str">
        <x:v>No</x:v>
      </x:c>
      <x:c r="M11" s="17" t="str">
        <x:v>Cybersecurity / IT</x:v>
      </x:c>
      <x:c r="N11" s="21"/>
      <x:c r="O11" s="17" t="str">
        <x:v>Not Required</x:v>
      </x:c>
    </x:row>
    <x:row r="12">
      <x:c r="A12" s="17" t="str">
        <x:v>AR-008</x:v>
      </x:c>
      <x:c r="B12" s="17" t="str">
        <x:v>Aisha Patel</x:v>
      </x:c>
      <x:c r="C12" s="17" t="str">
        <x:v>Employee</x:v>
      </x:c>
      <x:c r="D12" s="17" t="str">
        <x:v>Cybersecurity</x:v>
      </x:c>
      <x:c r="E12" s="17" t="str">
        <x:v>Active</x:v>
      </x:c>
      <x:c r="F12" s="17" t="str">
        <x:v>AWS Production</x:v>
      </x:c>
      <x:c r="G12" s="17" t="str">
        <x:v>Elevated</x:v>
      </x:c>
      <x:c r="H12" s="17" t="str">
        <x:v>Restricted</x:v>
      </x:c>
      <x:c r="I12" s="17" t="str">
        <x:v>Yes</x:v>
      </x:c>
      <x:c r="J12" s="17" t="str">
        <x:v>Yes</x:v>
      </x:c>
      <x:c r="K12" s="17" t="str">
        <x:v>Retain</x:v>
      </x:c>
      <x:c r="L12" s="17" t="str">
        <x:v>No</x:v>
      </x:c>
      <x:c r="M12" s="17" t="str">
        <x:v>Cybersecurity / IT</x:v>
      </x:c>
      <x:c r="N12" s="21"/>
      <x:c r="O12" s="17" t="str">
        <x:v>Not Required</x:v>
      </x:c>
    </x:row>
    <x:row r="13">
      <x:c r="A13" s="17" t="str">
        <x:v>AR-009</x:v>
      </x:c>
      <x:c r="B13" s="17" t="str">
        <x:v>Noah Williams</x:v>
      </x:c>
      <x:c r="C13" s="17" t="str">
        <x:v>Employee</x:v>
      </x:c>
      <x:c r="D13" s="17" t="str">
        <x:v>Customer Support</x:v>
      </x:c>
      <x:c r="E13" s="17" t="str">
        <x:v>Active</x:v>
      </x:c>
      <x:c r="F13" s="17" t="str">
        <x:v>Support Platform</x:v>
      </x:c>
      <x:c r="G13" s="17" t="str">
        <x:v>Privileged</x:v>
      </x:c>
      <x:c r="H13" s="17" t="str">
        <x:v>Restricted</x:v>
      </x:c>
      <x:c r="I13" s="17" t="str">
        <x:v>Yes</x:v>
      </x:c>
      <x:c r="J13" s="17" t="str">
        <x:v>Partial</x:v>
      </x:c>
      <x:c r="K13" s="17" t="str">
        <x:v>Modify</x:v>
      </x:c>
      <x:c r="L13" s="17" t="str">
        <x:v>Yes</x:v>
      </x:c>
      <x:c r="M13" s="17" t="str">
        <x:v>Support System Owner</x:v>
      </x:c>
      <x:c r="N13" s="21" t="n">
        <x:v>46300</x:v>
      </x:c>
      <x:c r="O13" s="17" t="str">
        <x:v>In Progress</x:v>
      </x:c>
    </x:row>
    <x:row r="14">
      <x:c r="A14" s="17" t="str">
        <x:v>AR-010</x:v>
      </x:c>
      <x:c r="B14" s="17" t="str">
        <x:v>Noah Williams</x:v>
      </x:c>
      <x:c r="C14" s="17" t="str">
        <x:v>Employee</x:v>
      </x:c>
      <x:c r="D14" s="17" t="str">
        <x:v>Customer Support</x:v>
      </x:c>
      <x:c r="E14" s="17" t="str">
        <x:v>Active</x:v>
      </x:c>
      <x:c r="F14" s="17" t="str">
        <x:v>Customer Database</x:v>
      </x:c>
      <x:c r="G14" s="17" t="str">
        <x:v>Elevated</x:v>
      </x:c>
      <x:c r="H14" s="17" t="str">
        <x:v>Restricted</x:v>
      </x:c>
      <x:c r="I14" s="17" t="str">
        <x:v>Yes</x:v>
      </x:c>
      <x:c r="J14" s="17" t="str">
        <x:v>No</x:v>
      </x:c>
      <x:c r="K14" s="17" t="str">
        <x:v>Remove</x:v>
      </x:c>
      <x:c r="L14" s="17" t="str">
        <x:v>Yes</x:v>
      </x:c>
      <x:c r="M14" s="17" t="str">
        <x:v>Database Owner</x:v>
      </x:c>
      <x:c r="N14" s="21" t="n">
        <x:v>46298</x:v>
      </x:c>
      <x:c r="O14" s="17" t="str">
        <x:v>Open</x:v>
      </x:c>
    </x:row>
    <x:row r="15">
      <x:c r="A15" s="17" t="str">
        <x:v>AR-011</x:v>
      </x:c>
      <x:c r="B15" s="17" t="str">
        <x:v>Sofia Ramirez</x:v>
      </x:c>
      <x:c r="C15" s="17" t="str">
        <x:v>Employee</x:v>
      </x:c>
      <x:c r="D15" s="17" t="str">
        <x:v>Human Resources</x:v>
      </x:c>
      <x:c r="E15" s="17" t="str">
        <x:v>Active</x:v>
      </x:c>
      <x:c r="F15" s="17" t="str">
        <x:v>Microsoft 365</x:v>
      </x:c>
      <x:c r="G15" s="17" t="str">
        <x:v>Standard</x:v>
      </x:c>
      <x:c r="H15" s="17" t="str">
        <x:v>Confidential</x:v>
      </x:c>
      <x:c r="I15" s="17" t="str">
        <x:v>Yes</x:v>
      </x:c>
      <x:c r="J15" s="17" t="str">
        <x:v>Yes</x:v>
      </x:c>
      <x:c r="K15" s="17" t="str">
        <x:v>Retain</x:v>
      </x:c>
      <x:c r="L15" s="17" t="str">
        <x:v>No</x:v>
      </x:c>
      <x:c r="M15" s="17" t="str">
        <x:v>Human Resources</x:v>
      </x:c>
      <x:c r="N15" s="21"/>
      <x:c r="O15" s="17" t="str">
        <x:v>Not Required</x:v>
      </x:c>
    </x:row>
    <x:row r="16">
      <x:c r="A16" s="17" t="str">
        <x:v>AR-012</x:v>
      </x:c>
      <x:c r="B16" s="17" t="str">
        <x:v>Ethan Clark</x:v>
      </x:c>
      <x:c r="C16" s="17" t="str">
        <x:v>Former Contractor</x:v>
      </x:c>
      <x:c r="D16" s="17" t="str">
        <x:v>Software Development</x:v>
      </x:c>
      <x:c r="E16" s="17" t="str">
        <x:v>Terminated</x:v>
      </x:c>
      <x:c r="F16" s="17" t="str">
        <x:v>AWS Production</x:v>
      </x:c>
      <x:c r="G16" s="17" t="str">
        <x:v>Elevated</x:v>
      </x:c>
      <x:c r="H16" s="17" t="str">
        <x:v>Restricted</x:v>
      </x:c>
      <x:c r="I16" s="17" t="str">
        <x:v>Yes</x:v>
      </x:c>
      <x:c r="J16" s="17" t="str">
        <x:v>No</x:v>
      </x:c>
      <x:c r="K16" s="17" t="str">
        <x:v>Remove</x:v>
      </x:c>
      <x:c r="L16" s="17" t="str">
        <x:v>Yes</x:v>
      </x:c>
      <x:c r="M16" s="17" t="str">
        <x:v>Cybersecurity / IT</x:v>
      </x:c>
      <x:c r="N16" s="21" t="n">
        <x:v>46296</x:v>
      </x:c>
      <x:c r="O16" s="17" t="str">
        <x:v>Open</x:v>
      </x:c>
    </x:row>
    <x:row r="17">
      <x:c r="A17" s="17" t="str">
        <x:v>AR-013</x:v>
      </x:c>
      <x:c r="B17" s="17" t="str">
        <x:v>Olivia Kim</x:v>
      </x:c>
      <x:c r="C17" s="17" t="str">
        <x:v>Employee</x:v>
      </x:c>
      <x:c r="D17" s="17" t="str">
        <x:v>Data Analytics</x:v>
      </x:c>
      <x:c r="E17" s="17" t="str">
        <x:v>Active</x:v>
      </x:c>
      <x:c r="F17" s="17" t="str">
        <x:v>Analytics Workspace</x:v>
      </x:c>
      <x:c r="G17" s="17" t="str">
        <x:v>Elevated</x:v>
      </x:c>
      <x:c r="H17" s="17" t="str">
        <x:v>Restricted</x:v>
      </x:c>
      <x:c r="I17" s="17" t="str">
        <x:v>Yes</x:v>
      </x:c>
      <x:c r="J17" s="17" t="str">
        <x:v>Yes</x:v>
      </x:c>
      <x:c r="K17" s="17" t="str">
        <x:v>Retain</x:v>
      </x:c>
      <x:c r="L17" s="17" t="str">
        <x:v>No</x:v>
      </x:c>
      <x:c r="M17" s="17" t="str">
        <x:v>Data Owner</x:v>
      </x:c>
      <x:c r="N17" s="21"/>
      <x:c r="O17" s="17" t="str">
        <x:v>Not Required</x:v>
      </x:c>
    </x:row>
    <x:row r="18">
      <x:c r="A18" s="17" t="str">
        <x:v>AR-014</x:v>
      </x:c>
      <x:c r="B18" s="17" t="str">
        <x:v>Olivia Kim</x:v>
      </x:c>
      <x:c r="C18" s="17" t="str">
        <x:v>Employee</x:v>
      </x:c>
      <x:c r="D18" s="17" t="str">
        <x:v>Data Analytics</x:v>
      </x:c>
      <x:c r="E18" s="17" t="str">
        <x:v>Active</x:v>
      </x:c>
      <x:c r="F18" s="17" t="str">
        <x:v>Customer Database</x:v>
      </x:c>
      <x:c r="G18" s="17" t="str">
        <x:v>Elevated</x:v>
      </x:c>
      <x:c r="H18" s="17" t="str">
        <x:v>Restricted</x:v>
      </x:c>
      <x:c r="I18" s="17" t="str">
        <x:v>Yes</x:v>
      </x:c>
      <x:c r="J18" s="17" t="str">
        <x:v>Partial</x:v>
      </x:c>
      <x:c r="K18" s="17" t="str">
        <x:v>Escalate</x:v>
      </x:c>
      <x:c r="L18" s="17" t="str">
        <x:v>Yes</x:v>
      </x:c>
      <x:c r="M18" s="17" t="str">
        <x:v>Data Owner</x:v>
      </x:c>
      <x:c r="N18" s="21" t="n">
        <x:v>46310</x:v>
      </x:c>
      <x:c r="O18" s="17" t="str">
        <x:v>Open</x:v>
      </x:c>
    </x:row>
    <x:row r="19">
      <x:c r="A19" s="17" t="str">
        <x:v>AR-015</x:v>
      </x:c>
      <x:c r="B19" s="17" t="str">
        <x:v>Marcus Reed</x:v>
      </x:c>
      <x:c r="C19" s="17" t="str">
        <x:v>Employee</x:v>
      </x:c>
      <x:c r="D19" s="17" t="str">
        <x:v>Finance</x:v>
      </x:c>
      <x:c r="E19" s="17" t="str">
        <x:v>Active</x:v>
      </x:c>
      <x:c r="F19" s="17" t="str">
        <x:v>Payment Portal</x:v>
      </x:c>
      <x:c r="G19" s="17" t="str">
        <x:v>Privileged</x:v>
      </x:c>
      <x:c r="H19" s="17" t="str">
        <x:v>Confidential</x:v>
      </x:c>
      <x:c r="I19" s="17" t="str">
        <x:v>Yes</x:v>
      </x:c>
      <x:c r="J19" s="17" t="str">
        <x:v>Partial</x:v>
      </x:c>
      <x:c r="K19" s="17" t="str">
        <x:v>Modify</x:v>
      </x:c>
      <x:c r="L19" s="17" t="str">
        <x:v>Yes</x:v>
      </x:c>
      <x:c r="M19" s="17" t="str">
        <x:v>Finance System Owner</x:v>
      </x:c>
      <x:c r="N19" s="21" t="n">
        <x:v>46305</x:v>
      </x:c>
      <x:c r="O19" s="17" t="str">
        <x:v>Open</x:v>
      </x:c>
    </x:row>
    <x:row r="20">
      <x:c r="A20" s="17" t="str">
        <x:v>AR-016</x:v>
      </x:c>
      <x:c r="B20" s="17" t="str">
        <x:v>Marcus Reed</x:v>
      </x:c>
      <x:c r="C20" s="17" t="str">
        <x:v>Employee</x:v>
      </x:c>
      <x:c r="D20" s="17" t="str">
        <x:v>Finance</x:v>
      </x:c>
      <x:c r="E20" s="17" t="str">
        <x:v>Active</x:v>
      </x:c>
      <x:c r="F20" s="17" t="str">
        <x:v>Microsoft 365</x:v>
      </x:c>
      <x:c r="G20" s="17" t="str">
        <x:v>Standard</x:v>
      </x:c>
      <x:c r="H20" s="17" t="str">
        <x:v>Internal</x:v>
      </x:c>
      <x:c r="I20" s="17" t="str">
        <x:v>Yes</x:v>
      </x:c>
      <x:c r="J20" s="17" t="str">
        <x:v>Yes</x:v>
      </x:c>
      <x:c r="K20" s="17" t="str">
        <x:v>Retain</x:v>
      </x:c>
      <x:c r="L20" s="17" t="str">
        <x:v>No</x:v>
      </x:c>
      <x:c r="M20" s="17" t="str">
        <x:v>Finance</x:v>
      </x:c>
      <x:c r="N20" s="21"/>
      <x:c r="O20" s="17" t="str">
        <x:v>Not Required</x:v>
      </x:c>
    </x:row>
    <x:row r="21">
      <x:c r="A21" s="17" t="str">
        <x:v>AR-017</x:v>
      </x:c>
      <x:c r="B21" s="17" t="str">
        <x:v>Ava Thompson</x:v>
      </x:c>
      <x:c r="C21" s="17" t="str">
        <x:v>Employee</x:v>
      </x:c>
      <x:c r="D21" s="17" t="str">
        <x:v>Product</x:v>
      </x:c>
      <x:c r="E21" s="17" t="str">
        <x:v>Active</x:v>
      </x:c>
      <x:c r="F21" s="17" t="str">
        <x:v>Jira / Product Workspace</x:v>
      </x:c>
      <x:c r="G21" s="17" t="str">
        <x:v>Standard</x:v>
      </x:c>
      <x:c r="H21" s="17" t="str">
        <x:v>Internal</x:v>
      </x:c>
      <x:c r="I21" s="17" t="str">
        <x:v>Yes</x:v>
      </x:c>
      <x:c r="J21" s="17" t="str">
        <x:v>Yes</x:v>
      </x:c>
      <x:c r="K21" s="17" t="str">
        <x:v>Retain</x:v>
      </x:c>
      <x:c r="L21" s="17" t="str">
        <x:v>No</x:v>
      </x:c>
      <x:c r="M21" s="17" t="str">
        <x:v>Product Management</x:v>
      </x:c>
      <x:c r="N21" s="21"/>
      <x:c r="O21" s="17" t="str">
        <x:v>Not Required</x:v>
      </x:c>
    </x:row>
    <x:row r="22">
      <x:c r="A22" s="17" t="str">
        <x:v>AR-018</x:v>
      </x:c>
      <x:c r="B22" s="17" t="str">
        <x:v>Ava Thompson</x:v>
      </x:c>
      <x:c r="C22" s="17" t="str">
        <x:v>Employee</x:v>
      </x:c>
      <x:c r="D22" s="17" t="str">
        <x:v>Product</x:v>
      </x:c>
      <x:c r="E22" s="17" t="str">
        <x:v>Active</x:v>
      </x:c>
      <x:c r="F22" s="17" t="str">
        <x:v>AWS Production</x:v>
      </x:c>
      <x:c r="G22" s="17" t="str">
        <x:v>Elevated</x:v>
      </x:c>
      <x:c r="H22" s="17" t="str">
        <x:v>Restricted</x:v>
      </x:c>
      <x:c r="I22" s="17" t="str">
        <x:v>Yes</x:v>
      </x:c>
      <x:c r="J22" s="17" t="str">
        <x:v>No</x:v>
      </x:c>
      <x:c r="K22" s="17" t="str">
        <x:v>Remove</x:v>
      </x:c>
      <x:c r="L22" s="17" t="str">
        <x:v>Yes</x:v>
      </x:c>
      <x:c r="M22" s="17" t="str">
        <x:v>Cloud Engineering</x:v>
      </x:c>
      <x:c r="N22" s="21" t="n">
        <x:v>46300</x:v>
      </x:c>
      <x:c r="O22" s="17" t="str">
        <x:v>Open</x:v>
      </x:c>
    </x:row>
    <x:row r="23">
      <x:c r="A23" s="17" t="str">
        <x:v>AR-019</x:v>
      </x:c>
      <x:c r="B23" s="17" t="str">
        <x:v>Owen Garcia</x:v>
      </x:c>
      <x:c r="C23" s="17" t="str">
        <x:v>Vendor Contractor</x:v>
      </x:c>
      <x:c r="D23" s="17" t="str">
        <x:v>Integration Partner</x:v>
      </x:c>
      <x:c r="E23" s="17" t="str">
        <x:v>Active</x:v>
      </x:c>
      <x:c r="F23" s="17" t="str">
        <x:v>GitHub</x:v>
      </x:c>
      <x:c r="G23" s="17" t="str">
        <x:v>Elevated</x:v>
      </x:c>
      <x:c r="H23" s="17" t="str">
        <x:v>Confidential</x:v>
      </x:c>
      <x:c r="I23" s="17" t="str">
        <x:v>Yes</x:v>
      </x:c>
      <x:c r="J23" s="17" t="str">
        <x:v>Yes</x:v>
      </x:c>
      <x:c r="K23" s="17" t="str">
        <x:v>Escalate</x:v>
      </x:c>
      <x:c r="L23" s="17" t="str">
        <x:v>Yes</x:v>
      </x:c>
      <x:c r="M23" s="17" t="str">
        <x:v>Product Management</x:v>
      </x:c>
      <x:c r="N23" s="21" t="n">
        <x:v>46300</x:v>
      </x:c>
      <x:c r="O23" s="17" t="str">
        <x:v>Open</x:v>
      </x:c>
    </x:row>
    <x:row r="24">
      <x:c r="A24" s="17" t="str">
        <x:v>AR-020</x:v>
      </x:c>
      <x:c r="B24" s="17" t="str">
        <x:v>Wearable API Service</x:v>
      </x:c>
      <x:c r="C24" s="17" t="str">
        <x:v>Service Account</x:v>
      </x:c>
      <x:c r="D24" s="17" t="str">
        <x:v>Software Development</x:v>
      </x:c>
      <x:c r="E24" s="17" t="str">
        <x:v>Active</x:v>
      </x:c>
      <x:c r="F24" s="17" t="str">
        <x:v>AWS Production</x:v>
      </x:c>
      <x:c r="G24" s="17" t="str">
        <x:v>Privileged</x:v>
      </x:c>
      <x:c r="H24" s="17" t="str">
        <x:v>Restricted</x:v>
      </x:c>
      <x:c r="I24" s="17" t="str">
        <x:v>N/A</x:v>
      </x:c>
      <x:c r="J24" s="17" t="str">
        <x:v>Yes</x:v>
      </x:c>
      <x:c r="K24" s="17" t="str">
        <x:v>Escalate</x:v>
      </x:c>
      <x:c r="L24" s="17" t="str">
        <x:v>Yes</x:v>
      </x:c>
      <x:c r="M24" s="17" t="str">
        <x:v>Software Development</x:v>
      </x:c>
      <x:c r="N24" s="21" t="n">
        <x:v>46303</x:v>
      </x:c>
      <x:c r="O24" s="17" t="str">
        <x:v>Open</x:v>
      </x:c>
    </x:row>
    <x:row r="25">
      <x:c r="A25" s="17" t="str">
        <x:v>AR-021</x:v>
      </x:c>
      <x:c r="B25" s="17" t="str">
        <x:v>Isabella Moore</x:v>
      </x:c>
      <x:c r="C25" s="17" t="str">
        <x:v>Employee</x:v>
      </x:c>
      <x:c r="D25" s="17" t="str">
        <x:v>Marketing</x:v>
      </x:c>
      <x:c r="E25" s="17" t="str">
        <x:v>Active</x:v>
      </x:c>
      <x:c r="F25" s="17" t="str">
        <x:v>Support Platform</x:v>
      </x:c>
      <x:c r="G25" s="17" t="str">
        <x:v>Elevated</x:v>
      </x:c>
      <x:c r="H25" s="17" t="str">
        <x:v>Restricted</x:v>
      </x:c>
      <x:c r="I25" s="17" t="str">
        <x:v>Yes</x:v>
      </x:c>
      <x:c r="J25" s="17" t="str">
        <x:v>No</x:v>
      </x:c>
      <x:c r="K25" s="17" t="str">
        <x:v>Remove</x:v>
      </x:c>
      <x:c r="L25" s="17" t="str">
        <x:v>Yes</x:v>
      </x:c>
      <x:c r="M25" s="17" t="str">
        <x:v>Support System Owner</x:v>
      </x:c>
      <x:c r="N25" s="21" t="n">
        <x:v>46298</x:v>
      </x:c>
      <x:c r="O25" s="17" t="str">
        <x:v>Open</x:v>
      </x:c>
    </x:row>
    <x:row r="26">
      <x:c r="A26" s="17" t="str">
        <x:v>AR-022</x:v>
      </x:c>
      <x:c r="B26" s="17" t="str">
        <x:v>Isabella Moore</x:v>
      </x:c>
      <x:c r="C26" s="17" t="str">
        <x:v>Employee</x:v>
      </x:c>
      <x:c r="D26" s="17" t="str">
        <x:v>Marketing</x:v>
      </x:c>
      <x:c r="E26" s="17" t="str">
        <x:v>Active</x:v>
      </x:c>
      <x:c r="F26" s="17" t="str">
        <x:v>Microsoft 365</x:v>
      </x:c>
      <x:c r="G26" s="17" t="str">
        <x:v>Standard</x:v>
      </x:c>
      <x:c r="H26" s="17" t="str">
        <x:v>Internal</x:v>
      </x:c>
      <x:c r="I26" s="17" t="str">
        <x:v>Yes</x:v>
      </x:c>
      <x:c r="J26" s="17" t="str">
        <x:v>Yes</x:v>
      </x:c>
      <x:c r="K26" s="17" t="str">
        <x:v>Retain</x:v>
      </x:c>
      <x:c r="L26" s="17" t="str">
        <x:v>No</x:v>
      </x:c>
      <x:c r="M26" s="17" t="str">
        <x:v>Marketing</x:v>
      </x:c>
      <x:c r="N26" s="21"/>
      <x:c r="O26" s="17" t="str">
        <x:v>Not Required</x:v>
      </x:c>
    </x:row>
    <x:row r="27">
      <x:c r="A27" s="17" t="str">
        <x:v>AR-023</x:v>
      </x:c>
      <x:c r="B27" s="17" t="str">
        <x:v>Caleb Jones</x:v>
      </x:c>
      <x:c r="C27" s="17" t="str">
        <x:v>Employee</x:v>
      </x:c>
      <x:c r="D27" s="17" t="str">
        <x:v>Information Technology</x:v>
      </x:c>
      <x:c r="E27" s="17" t="str">
        <x:v>Active</x:v>
      </x:c>
      <x:c r="F27" s="17" t="str">
        <x:v>Microsoft 365</x:v>
      </x:c>
      <x:c r="G27" s="17" t="str">
        <x:v>Privileged</x:v>
      </x:c>
      <x:c r="H27" s="17" t="str">
        <x:v>Confidential</x:v>
      </x:c>
      <x:c r="I27" s="17" t="str">
        <x:v>Yes</x:v>
      </x:c>
      <x:c r="J27" s="17" t="str">
        <x:v>Yes</x:v>
      </x:c>
      <x:c r="K27" s="17" t="str">
        <x:v>Retain</x:v>
      </x:c>
      <x:c r="L27" s="17" t="str">
        <x:v>No</x:v>
      </x:c>
      <x:c r="M27" s="17" t="str">
        <x:v>Executive Leadership</x:v>
      </x:c>
      <x:c r="N27" s="21"/>
      <x:c r="O27" s="17" t="str">
        <x:v>Not Required</x:v>
      </x:c>
    </x:row>
    <x:row r="28">
      <x:c r="A28" s="17" t="str">
        <x:v>AR-024</x:v>
      </x:c>
      <x:c r="B28" s="17" t="str">
        <x:v>Caleb Jones</x:v>
      </x:c>
      <x:c r="C28" s="17" t="str">
        <x:v>Employee</x:v>
      </x:c>
      <x:c r="D28" s="17" t="str">
        <x:v>Information Technology</x:v>
      </x:c>
      <x:c r="E28" s="17" t="str">
        <x:v>Active</x:v>
      </x:c>
      <x:c r="F28" s="17" t="str">
        <x:v>AWS Production</x:v>
      </x:c>
      <x:c r="G28" s="17" t="str">
        <x:v>Privileged</x:v>
      </x:c>
      <x:c r="H28" s="17" t="str">
        <x:v>Restricted</x:v>
      </x:c>
      <x:c r="I28" s="17" t="str">
        <x:v>Yes</x:v>
      </x:c>
      <x:c r="J28" s="17" t="str">
        <x:v>Yes</x:v>
      </x:c>
      <x:c r="K28" s="17" t="str">
        <x:v>Retain</x:v>
      </x:c>
      <x:c r="L28" s="17" t="str">
        <x:v>No</x:v>
      </x:c>
      <x:c r="M28" s="17" t="str">
        <x:v>Executive Leadership</x:v>
      </x:c>
      <x:c r="N28" s="21"/>
      <x:c r="O28" s="17" t="str">
        <x:v>Not Required</x:v>
      </x:c>
    </x:row>
    <x:row r="29">
      <x:c r="A29" s="17" t="str">
        <x:v>AR-025</x:v>
      </x:c>
      <x:c r="B29" s="17" t="str">
        <x:v>Mia Carter</x:v>
      </x:c>
      <x:c r="C29" s="17" t="str">
        <x:v>Temporary QA</x:v>
      </x:c>
      <x:c r="D29" s="17" t="str">
        <x:v>Quality Assurance</x:v>
      </x:c>
      <x:c r="E29" s="17" t="str">
        <x:v>Active</x:v>
      </x:c>
      <x:c r="F29" s="17" t="str">
        <x:v>GitHub</x:v>
      </x:c>
      <x:c r="G29" s="17" t="str">
        <x:v>Elevated</x:v>
      </x:c>
      <x:c r="H29" s="17" t="str">
        <x:v>Confidential</x:v>
      </x:c>
      <x:c r="I29" s="17" t="str">
        <x:v>Yes</x:v>
      </x:c>
      <x:c r="J29" s="17" t="str">
        <x:v>Yes</x:v>
      </x:c>
      <x:c r="K29" s="17" t="str">
        <x:v>Retain</x:v>
      </x:c>
      <x:c r="L29" s="17" t="str">
        <x:v>No</x:v>
      </x:c>
      <x:c r="M29" s="17" t="str">
        <x:v>Software Development</x:v>
      </x:c>
      <x:c r="N29" s="21" t="n">
        <x:v>46310</x:v>
      </x:c>
      <x:c r="O29" s="17" t="str">
        <x:v>Scheduled</x:v>
      </x:c>
    </x:row>
    <x:row r="30">
      <x:c r="A30" s="17" t="str">
        <x:v>AR-026</x:v>
      </x:c>
      <x:c r="B30" s="17" t="str">
        <x:v>Mia Carter</x:v>
      </x:c>
      <x:c r="C30" s="17" t="str">
        <x:v>Temporary QA</x:v>
      </x:c>
      <x:c r="D30" s="17" t="str">
        <x:v>Quality Assurance</x:v>
      </x:c>
      <x:c r="E30" s="17" t="str">
        <x:v>Active</x:v>
      </x:c>
      <x:c r="F30" s="17" t="str">
        <x:v>Test Environment</x:v>
      </x:c>
      <x:c r="G30" s="17" t="str">
        <x:v>Standard</x:v>
      </x:c>
      <x:c r="H30" s="17" t="str">
        <x:v>Confidential</x:v>
      </x:c>
      <x:c r="I30" s="17" t="str">
        <x:v>Yes</x:v>
      </x:c>
      <x:c r="J30" s="17" t="str">
        <x:v>Yes</x:v>
      </x:c>
      <x:c r="K30" s="17" t="str">
        <x:v>Retain</x:v>
      </x:c>
      <x:c r="L30" s="17" t="str">
        <x:v>No</x:v>
      </x:c>
      <x:c r="M30" s="17" t="str">
        <x:v>Software Development</x:v>
      </x:c>
      <x:c r="N30" s="21" t="n">
        <x:v>46310</x:v>
      </x:c>
      <x:c r="O30" s="17" t="str">
        <x:v>Scheduled</x:v>
      </x:c>
    </x:row>
    <x:row r="31">
      <x:c r="A31" s="17" t="str">
        <x:v>AR-027</x:v>
      </x:c>
      <x:c r="B31" s="17" t="str">
        <x:v>Zoe Martin</x:v>
      </x:c>
      <x:c r="C31" s="17" t="str">
        <x:v>Employee</x:v>
      </x:c>
      <x:c r="D31" s="17" t="str">
        <x:v>Customer Support</x:v>
      </x:c>
      <x:c r="E31" s="17" t="str">
        <x:v>Active</x:v>
      </x:c>
      <x:c r="F31" s="17" t="str">
        <x:v>Support Platform</x:v>
      </x:c>
      <x:c r="G31" s="17" t="str">
        <x:v>Elevated</x:v>
      </x:c>
      <x:c r="H31" s="17" t="str">
        <x:v>Restricted</x:v>
      </x:c>
      <x:c r="I31" s="17" t="str">
        <x:v>Yes</x:v>
      </x:c>
      <x:c r="J31" s="17" t="str">
        <x:v>Yes</x:v>
      </x:c>
      <x:c r="K31" s="17" t="str">
        <x:v>Retain</x:v>
      </x:c>
      <x:c r="L31" s="17" t="str">
        <x:v>No</x:v>
      </x:c>
      <x:c r="M31" s="17" t="str">
        <x:v>Support System Owner</x:v>
      </x:c>
      <x:c r="N31" s="21"/>
      <x:c r="O31" s="17" t="str">
        <x:v>Not Required</x:v>
      </x:c>
    </x:row>
    <x:row r="32">
      <x:c r="A32" s="18" t="str">
        <x:v>AR-028</x:v>
      </x:c>
      <x:c r="B32" s="18" t="str">
        <x:v>Zoe Martin</x:v>
      </x:c>
      <x:c r="C32" s="18" t="str">
        <x:v>Employee</x:v>
      </x:c>
      <x:c r="D32" s="18" t="str">
        <x:v>Customer Support</x:v>
      </x:c>
      <x:c r="E32" s="18" t="str">
        <x:v>Active</x:v>
      </x:c>
      <x:c r="F32" s="18" t="str">
        <x:v>Microsoft 365</x:v>
      </x:c>
      <x:c r="G32" s="18" t="str">
        <x:v>Standard</x:v>
      </x:c>
      <x:c r="H32" s="18" t="str">
        <x:v>Internal</x:v>
      </x:c>
      <x:c r="I32" s="18" t="str">
        <x:v>Yes</x:v>
      </x:c>
      <x:c r="J32" s="18" t="str">
        <x:v>Yes</x:v>
      </x:c>
      <x:c r="K32" s="18" t="str">
        <x:v>Retain</x:v>
      </x:c>
      <x:c r="L32" s="18" t="str">
        <x:v>No</x:v>
      </x:c>
      <x:c r="M32" s="18" t="str">
        <x:v>Customer Support</x:v>
      </x:c>
      <x:c r="N32" s="22"/>
      <x:c r="O32" s="18" t="str">
        <x:v>Not Required</x:v>
      </x:c>
    </x:row>
  </x:sheetData>
  <x:mergeCells>
    <x:mergeCell ref="A1:O1"/>
    <x:mergeCell ref="A2:O2"/>
  </x:mergeCells>
  <x:conditionalFormatting sqref="K5:K32">
    <x:cfRule type="containsText" dxfId="36" priority="1" operator="containsText" text="Critical"/>
    <x:cfRule type="containsText" dxfId="37" priority="2" operator="containsText" text="High"/>
    <x:cfRule type="containsText" dxfId="38" priority="3" operator="containsText" text="Moderate"/>
    <x:cfRule type="containsText" dxfId="39" priority="4" operator="containsText" text="Implemented"/>
    <x:cfRule type="containsText" dxfId="40" priority="5" operator="containsText" text="Retain"/>
    <x:cfRule type="containsText" dxfId="41" priority="6" operator="containsText" text="Yes"/>
  </x:conditionalFormatting>
  <x:conditionalFormatting sqref="L5:L32">
    <x:cfRule type="containsText" dxfId="42" priority="7" operator="containsText" text="Critical"/>
    <x:cfRule type="containsText" dxfId="43" priority="8" operator="containsText" text="High"/>
    <x:cfRule type="containsText" dxfId="44" priority="9" operator="containsText" text="Moderate"/>
    <x:cfRule type="containsText" dxfId="45" priority="10" operator="containsText" text="Implemented"/>
    <x:cfRule type="containsText" dxfId="46" priority="11" operator="containsText" text="Retain"/>
    <x:cfRule type="containsText" dxfId="47" priority="12" operator="containsText" text="Yes"/>
  </x:conditionalFormatting>
  <x:conditionalFormatting sqref="O5:O32">
    <x:cfRule type="containsText" dxfId="48" priority="13" operator="containsText" text="Critical"/>
    <x:cfRule type="containsText" dxfId="49" priority="14" operator="containsText" text="High"/>
    <x:cfRule type="containsText" dxfId="50" priority="15" operator="containsText" text="Moderate"/>
    <x:cfRule type="containsText" dxfId="51" priority="16" operator="containsText" text="Implemented"/>
    <x:cfRule type="containsText" dxfId="52" priority="17" operator="containsText" text="Retain"/>
    <x:cfRule type="containsText" dxfId="53" priority="18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35ae9d703ae54e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3" hidden="0" customWidth="1"/>
    <x:col min="10" max="10" width="15" hidden="0" customWidth="1"/>
    <x:col min="11" max="11" width="16" hidden="0" customWidth="1"/>
    <x:col min="12" max="12" width="16" hidden="0" customWidth="1"/>
    <x:col min="13" max="13" width="16" hidden="0" customWidth="1"/>
    <x:col min="14" max="14" width="52" hidden="0" customWidth="1"/>
  </x:cols>
  <x:sheetData>
    <x:row r="1" ht="32" customHeight="1">
      <x:c r="A1" s="3" t="str">
        <x:v>Trainory | Findings Data</x:v>
      </x:c>
      <x:c r="B1" s="3" t="str">
        <x:v>Trainory | Findings Data</x:v>
      </x:c>
      <x:c r="C1" s="3" t="str">
        <x:v>Trainory | Findings Data</x:v>
      </x:c>
      <x:c r="D1" s="3" t="str">
        <x:v>Trainory | Findings Data</x:v>
      </x:c>
      <x:c r="E1" s="3" t="str">
        <x:v>Trainory | Findings Data</x:v>
      </x:c>
      <x:c r="F1" s="3" t="str">
        <x:v>Trainory | Findings Data</x:v>
      </x:c>
      <x:c r="G1" s="3" t="str">
        <x:v>Trainory | Findings Data</x:v>
      </x:c>
      <x:c r="H1" s="3" t="str">
        <x:v>Trainory | Findings Data</x:v>
      </x:c>
      <x:c r="I1" s="3" t="str">
        <x:v>Trainory | Findings Data</x:v>
      </x:c>
      <x:c r="J1" s="3" t="str">
        <x:v>Trainory | Findings Data</x:v>
      </x:c>
      <x:c r="K1" s="3" t="str">
        <x:v>Trainory | Findings Data</x:v>
      </x:c>
      <x:c r="L1" s="3" t="str">
        <x:v>Trainory | Findings Data</x:v>
      </x:c>
      <x:c r="M1" s="3" t="str">
        <x:v>Trainory | Findings Data</x:v>
      </x:c>
      <x:c r="N1" s="3" t="str">
        <x:v>Trainory | Findings Data</x:v>
      </x:c>
    </x:row>
    <x:row r="2" ht="24" customHeight="1">
      <x:c r="A2" s="6" t="str">
        <x:v>Normalized vendor and access-review findings for cross-functional reporting</x:v>
      </x:c>
      <x:c r="B2" s="6" t="str">
        <x:v>Normalized vendor and access-review findings for cross-functional reporting</x:v>
      </x:c>
      <x:c r="C2" s="6" t="str">
        <x:v>Normalized vendor and access-review findings for cross-functional reporting</x:v>
      </x:c>
      <x:c r="D2" s="6" t="str">
        <x:v>Normalized vendor and access-review findings for cross-functional reporting</x:v>
      </x:c>
      <x:c r="E2" s="6" t="str">
        <x:v>Normalized vendor and access-review findings for cross-functional reporting</x:v>
      </x:c>
      <x:c r="F2" s="6" t="str">
        <x:v>Normalized vendor and access-review findings for cross-functional reporting</x:v>
      </x:c>
      <x:c r="G2" s="6" t="str">
        <x:v>Normalized vendor and access-review findings for cross-functional reporting</x:v>
      </x:c>
      <x:c r="H2" s="6" t="str">
        <x:v>Normalized vendor and access-review findings for cross-functional reporting</x:v>
      </x:c>
      <x:c r="I2" s="6" t="str">
        <x:v>Normalized vendor and access-review findings for cross-functional reporting</x:v>
      </x:c>
      <x:c r="J2" s="6" t="str">
        <x:v>Normalized vendor and access-review findings for cross-functional reporting</x:v>
      </x:c>
      <x:c r="K2" s="6" t="str">
        <x:v>Normalized vendor and access-review findings for cross-functional reporting</x:v>
      </x:c>
      <x:c r="L2" s="6" t="str">
        <x:v>Normalized vendor and access-review findings for cross-functional reporting</x:v>
      </x:c>
      <x:c r="M2" s="6" t="str">
        <x:v>Normalized vendor and access-review findings for cross-functional reporting</x:v>
      </x:c>
      <x:c r="N2" s="6" t="str">
        <x:v>Normalized vendor and access-review findings for cross-functional reporting</x:v>
      </x:c>
    </x:row>
    <x:row r="4" ht="34" customHeight="1">
      <x:c r="A4" s="12" t="str">
        <x:v>Source</x:v>
      </x:c>
      <x:c r="B4" s="12" t="str">
        <x:v>Finding ID</x:v>
      </x:c>
      <x:c r="C4" s="12" t="str">
        <x:v>Domain</x:v>
      </x:c>
      <x:c r="D4" s="12" t="str">
        <x:v>Finding</x:v>
      </x:c>
      <x:c r="E4" s="12" t="str">
        <x:v>Likelihood</x:v>
      </x:c>
      <x:c r="F4" s="12" t="str">
        <x:v>Impact</x:v>
      </x:c>
      <x:c r="G4" s="12" t="str">
        <x:v>Risk Score</x:v>
      </x:c>
      <x:c r="H4" s="12" t="str">
        <x:v>Rating</x:v>
      </x:c>
      <x:c r="I4" s="12" t="str">
        <x:v>Owner</x:v>
      </x:c>
      <x:c r="J4" s="12" t="str">
        <x:v>Target Date</x:v>
      </x:c>
      <x:c r="K4" s="12" t="str">
        <x:v>Status</x:v>
      </x:c>
      <x:c r="L4" s="12" t="str">
        <x:v>Residual Score</x:v>
      </x:c>
      <x:c r="M4" s="12" t="str">
        <x:v>Residual Rating</x:v>
      </x:c>
      <x:c r="N4" s="12" t="str">
        <x:v>Corrective Action</x:v>
      </x:c>
    </x:row>
    <x:row r="5">
      <x:c r="A5" s="17" t="str">
        <x:v>Vendor Risk</x:v>
      </x:c>
      <x:c r="B5" s="17" t="str">
        <x:v>VRF-01</x:v>
      </x:c>
      <x:c r="C5" s="17" t="str">
        <x:v>Governance</x:v>
      </x:c>
      <x:c r="D5" s="17" t="str">
        <x:v>Independent control assurance is incomplete.</x:v>
      </x:c>
      <x:c r="E5" s="17" t="n">
        <x:v>3</x:v>
      </x:c>
      <x:c r="F5" s="17" t="n">
        <x:v>4</x:v>
      </x:c>
      <x:c r="G5" s="17" t="n">
        <x:v>12</x:v>
      </x:c>
      <x:c r="H5" s="17" t="str">
        <x:v>High</x:v>
      </x:c>
      <x:c r="I5" s="17" t="str">
        <x:v>Vendor Management</x:v>
      </x:c>
      <x:c r="J5" s="21" t="n">
        <x:v>46341</x:v>
      </x:c>
      <x:c r="K5" s="17" t="str">
        <x:v>Open</x:v>
      </x:c>
      <x:c r="L5" s="17" t="n">
        <x:v>8</x:v>
      </x:c>
      <x:c r="M5" s="17" t="str">
        <x:v>Moderate</x:v>
      </x:c>
      <x:c r="N5" s="17" t="str">
        <x:v>Require a current SOC 2 Type II report or equivalent assurance package before broad production rollout.</x:v>
      </x:c>
    </x:row>
    <x:row r="6">
      <x:c r="A6" s="17" t="str">
        <x:v>Vendor Risk</x:v>
      </x:c>
      <x:c r="B6" s="17" t="str">
        <x:v>VRF-02</x:v>
      </x:c>
      <x:c r="C6" s="17" t="str">
        <x:v>Identity &amp; Access</x:v>
      </x:c>
      <x:c r="D6" s="17" t="str">
        <x:v>Privileged-access reviews occur annually rather than quarterly.</x:v>
      </x:c>
      <x:c r="E6" s="17" t="n">
        <x:v>3</x:v>
      </x:c>
      <x:c r="F6" s="17" t="n">
        <x:v>4</x:v>
      </x:c>
      <x:c r="G6" s="17" t="n">
        <x:v>12</x:v>
      </x:c>
      <x:c r="H6" s="17" t="str">
        <x:v>High</x:v>
      </x:c>
      <x:c r="I6" s="17" t="str">
        <x:v>Cybersecurity / IT</x:v>
      </x:c>
      <x:c r="J6" s="21" t="n">
        <x:v>46371</x:v>
      </x:c>
      <x:c r="K6" s="17" t="str">
        <x:v>In Progress</x:v>
      </x:c>
      <x:c r="L6" s="17" t="n">
        <x:v>6</x:v>
      </x:c>
      <x:c r="M6" s="17" t="str">
        <x:v>Moderate</x:v>
      </x:c>
      <x:c r="N6" s="17" t="str">
        <x:v>Require quarterly review of privileged roles and remediation evidence.</x:v>
      </x:c>
    </x:row>
    <x:row r="7">
      <x:c r="A7" s="17" t="str">
        <x:v>Vendor Risk</x:v>
      </x:c>
      <x:c r="B7" s="17" t="str">
        <x:v>VRF-03</x:v>
      </x:c>
      <x:c r="C7" s="17" t="str">
        <x:v>Monitoring &amp; Response</x:v>
      </x:c>
      <x:c r="D7" s="17" t="str">
        <x:v>Incident notice is drafted as 72 hours after vendor confirmation.</x:v>
      </x:c>
      <x:c r="E7" s="17" t="n">
        <x:v>4</x:v>
      </x:c>
      <x:c r="F7" s="17" t="n">
        <x:v>5</x:v>
      </x:c>
      <x:c r="G7" s="17" t="n">
        <x:v>20</x:v>
      </x:c>
      <x:c r="H7" s="17" t="str">
        <x:v>Critical</x:v>
      </x:c>
      <x:c r="I7" s="17" t="str">
        <x:v>Privacy / Legal</x:v>
      </x:c>
      <x:c r="J7" s="21" t="n">
        <x:v>46326</x:v>
      </x:c>
      <x:c r="K7" s="17" t="str">
        <x:v>Open</x:v>
      </x:c>
      <x:c r="L7" s="17" t="n">
        <x:v>10</x:v>
      </x:c>
      <x:c r="M7" s="17" t="str">
        <x:v>High</x:v>
      </x:c>
      <x:c r="N7" s="17" t="str">
        <x:v>Require notice without undue delay and within 24 hours of confirmed Trainory impact.</x:v>
      </x:c>
    </x:row>
    <x:row r="8">
      <x:c r="A8" s="17" t="str">
        <x:v>Vendor Risk</x:v>
      </x:c>
      <x:c r="B8" s="17" t="str">
        <x:v>VRF-04</x:v>
      </x:c>
      <x:c r="C8" s="17" t="str">
        <x:v>Resilience</x:v>
      </x:c>
      <x:c r="D8" s="17" t="str">
        <x:v>No current disaster-recovery test evidence was provided.</x:v>
      </x:c>
      <x:c r="E8" s="17" t="n">
        <x:v>4</x:v>
      </x:c>
      <x:c r="F8" s="17" t="n">
        <x:v>5</x:v>
      </x:c>
      <x:c r="G8" s="17" t="n">
        <x:v>20</x:v>
      </x:c>
      <x:c r="H8" s="17" t="str">
        <x:v>Critical</x:v>
      </x:c>
      <x:c r="I8" s="17" t="str">
        <x:v>Vendor Management</x:v>
      </x:c>
      <x:c r="J8" s="21" t="n">
        <x:v>46326</x:v>
      </x:c>
      <x:c r="K8" s="17" t="str">
        <x:v>Open</x:v>
      </x:c>
      <x:c r="L8" s="17" t="n">
        <x:v>10</x:v>
      </x:c>
      <x:c r="M8" s="17" t="str">
        <x:v>High</x:v>
      </x:c>
      <x:c r="N8" s="17" t="str">
        <x:v>Obtain recent DR test results, recovery objectives, issues, and remediation evidence before production.</x:v>
      </x:c>
    </x:row>
    <x:row r="9">
      <x:c r="A9" s="17" t="str">
        <x:v>Vendor Risk</x:v>
      </x:c>
      <x:c r="B9" s="17" t="str">
        <x:v>VRF-05</x:v>
      </x:c>
      <x:c r="C9" s="17" t="str">
        <x:v>Privacy</x:v>
      </x:c>
      <x:c r="D9" s="17" t="str">
        <x:v>Retention, backup deletion, and deletion confirmation are not defined.</x:v>
      </x:c>
      <x:c r="E9" s="17" t="n">
        <x:v>4</x:v>
      </x:c>
      <x:c r="F9" s="17" t="n">
        <x:v>5</x:v>
      </x:c>
      <x:c r="G9" s="17" t="n">
        <x:v>20</x:v>
      </x:c>
      <x:c r="H9" s="17" t="str">
        <x:v>Critical</x:v>
      </x:c>
      <x:c r="I9" s="17" t="str">
        <x:v>Privacy / Legal</x:v>
      </x:c>
      <x:c r="J9" s="21" t="n">
        <x:v>46341</x:v>
      </x:c>
      <x:c r="K9" s="17" t="str">
        <x:v>In Progress</x:v>
      </x:c>
      <x:c r="L9" s="17" t="n">
        <x:v>10</x:v>
      </x:c>
      <x:c r="M9" s="17" t="str">
        <x:v>High</x:v>
      </x:c>
      <x:c r="N9" s="17" t="str">
        <x:v>Add a data-retention and deletion schedule with completion SLA and written confirmation.</x:v>
      </x:c>
    </x:row>
    <x:row r="10">
      <x:c r="A10" s="17" t="str">
        <x:v>Vendor Risk</x:v>
      </x:c>
      <x:c r="B10" s="17" t="str">
        <x:v>VRF-06</x:v>
      </x:c>
      <x:c r="C10" s="17" t="str">
        <x:v>Third Parties</x:v>
      </x:c>
      <x:c r="D10" s="17" t="str">
        <x:v>Evidence that security and notification duties flow to subprocessors is incomplete.</x:v>
      </x:c>
      <x:c r="E10" s="17" t="n">
        <x:v>3</x:v>
      </x:c>
      <x:c r="F10" s="17" t="n">
        <x:v>4</x:v>
      </x:c>
      <x:c r="G10" s="17" t="n">
        <x:v>12</x:v>
      </x:c>
      <x:c r="H10" s="17" t="str">
        <x:v>High</x:v>
      </x:c>
      <x:c r="I10" s="17" t="str">
        <x:v>Privacy / Legal</x:v>
      </x:c>
      <x:c r="J10" s="21" t="n">
        <x:v>46356</x:v>
      </x:c>
      <x:c r="K10" s="17" t="str">
        <x:v>Open</x:v>
      </x:c>
      <x:c r="L10" s="17" t="n">
        <x:v>6</x:v>
      </x:c>
      <x:c r="M10" s="17" t="str">
        <x:v>Moderate</x:v>
      </x:c>
      <x:c r="N10" s="17" t="str">
        <x:v>Obtain contractual attestation, audit-cooperation rights, and termination rights for material security failure.</x:v>
      </x:c>
    </x:row>
    <x:row r="11">
      <x:c r="A11" s="17" t="str">
        <x:v>Access Review</x:v>
      </x:c>
      <x:c r="B11" s="17" t="str">
        <x:v>ARF-01</x:v>
      </x:c>
      <x:c r="C11" s="17" t="str">
        <x:v>Identity &amp; Access</x:v>
      </x:c>
      <x:c r="D11" s="17" t="str">
        <x:v>Terminated contractor retained AWS access after the contract ended.</x:v>
      </x:c>
      <x:c r="E11" s="17" t="n">
        <x:v>5</x:v>
      </x:c>
      <x:c r="F11" s="17" t="n">
        <x:v>5</x:v>
      </x:c>
      <x:c r="G11" s="17" t="n">
        <x:v>25</x:v>
      </x:c>
      <x:c r="H11" s="17" t="str">
        <x:v>Critical</x:v>
      </x:c>
      <x:c r="I11" s="17" t="str">
        <x:v>Cybersecurity / IT</x:v>
      </x:c>
      <x:c r="J11" s="21" t="n">
        <x:v>46296</x:v>
      </x:c>
      <x:c r="K11" s="17" t="str">
        <x:v>Open</x:v>
      </x:c>
      <x:c r="L11" s="17" t="n">
        <x:v>5</x:v>
      </x:c>
      <x:c r="M11" s="17" t="str">
        <x:v>Moderate</x:v>
      </x:c>
      <x:c r="N11" s="17" t="str">
        <x:v>Disable account, revoke sessions, investigate post-termination activity, and verify all accounts are removed.</x:v>
      </x:c>
    </x:row>
    <x:row r="12">
      <x:c r="A12" s="17" t="str">
        <x:v>Access Review</x:v>
      </x:c>
      <x:c r="B12" s="17" t="str">
        <x:v>ARF-02</x:v>
      </x:c>
      <x:c r="C12" s="17" t="str">
        <x:v>Identity &amp; Access</x:v>
      </x:c>
      <x:c r="D12" s="17" t="str">
        <x:v>Developer retained broad production administration and direct customer-database access.</x:v>
      </x:c>
      <x:c r="E12" s="17" t="n">
        <x:v>4</x:v>
      </x:c>
      <x:c r="F12" s="17" t="n">
        <x:v>5</x:v>
      </x:c>
      <x:c r="G12" s="17" t="n">
        <x:v>20</x:v>
      </x:c>
      <x:c r="H12" s="17" t="str">
        <x:v>Critical</x:v>
      </x:c>
      <x:c r="I12" s="17" t="str">
        <x:v>Cloud Engineering</x:v>
      </x:c>
      <x:c r="J12" s="21" t="n">
        <x:v>46303</x:v>
      </x:c>
      <x:c r="K12" s="17" t="str">
        <x:v>Open</x:v>
      </x:c>
      <x:c r="L12" s="17" t="n">
        <x:v>10</x:v>
      </x:c>
      <x:c r="M12" s="17" t="str">
        <x:v>High</x:v>
      </x:c>
      <x:c r="N12" s="17" t="str">
        <x:v>Replace AWS Administrator with deployment role and remove direct database access.</x:v>
      </x:c>
    </x:row>
    <x:row r="13">
      <x:c r="A13" s="17" t="str">
        <x:v>Access Review</x:v>
      </x:c>
      <x:c r="B13" s="17" t="str">
        <x:v>ARF-03</x:v>
      </x:c>
      <x:c r="C13" s="17" t="str">
        <x:v>Identity &amp; Access</x:v>
      </x:c>
      <x:c r="D13" s="17" t="str">
        <x:v>Support employee held administrator and direct database access beyond support duties.</x:v>
      </x:c>
      <x:c r="E13" s="17" t="n">
        <x:v>4</x:v>
      </x:c>
      <x:c r="F13" s="17" t="n">
        <x:v>5</x:v>
      </x:c>
      <x:c r="G13" s="17" t="n">
        <x:v>20</x:v>
      </x:c>
      <x:c r="H13" s="17" t="str">
        <x:v>Critical</x:v>
      </x:c>
      <x:c r="I13" s="17" t="str">
        <x:v>Support System Owner</x:v>
      </x:c>
      <x:c r="J13" s="21" t="n">
        <x:v>46300</x:v>
      </x:c>
      <x:c r="K13" s="17" t="str">
        <x:v>In Progress</x:v>
      </x:c>
      <x:c r="L13" s="17" t="n">
        <x:v>8</x:v>
      </x:c>
      <x:c r="M13" s="17" t="str">
        <x:v>Moderate</x:v>
      </x:c>
      <x:c r="N13" s="17" t="str">
        <x:v>Assign least-privilege support-agent role and remove direct database access.</x:v>
      </x:c>
    </x:row>
    <x:row r="14">
      <x:c r="A14" s="17" t="str">
        <x:v>Access Review</x:v>
      </x:c>
      <x:c r="B14" s="17" t="str">
        <x:v>ARF-04</x:v>
      </x:c>
      <x:c r="C14" s="17" t="str">
        <x:v>Identity &amp; Access</x:v>
      </x:c>
      <x:c r="D14" s="17" t="str">
        <x:v>Data analyst had direct production access rather than a governed analytics view.</x:v>
      </x:c>
      <x:c r="E14" s="17" t="n">
        <x:v>3</x:v>
      </x:c>
      <x:c r="F14" s="17" t="n">
        <x:v>5</x:v>
      </x:c>
      <x:c r="G14" s="17" t="n">
        <x:v>15</x:v>
      </x:c>
      <x:c r="H14" s="17" t="str">
        <x:v>High</x:v>
      </x:c>
      <x:c r="I14" s="17" t="str">
        <x:v>Data Owner</x:v>
      </x:c>
      <x:c r="J14" s="21" t="n">
        <x:v>46310</x:v>
      </x:c>
      <x:c r="K14" s="17" t="str">
        <x:v>Open</x:v>
      </x:c>
      <x:c r="L14" s="17" t="n">
        <x:v>8</x:v>
      </x:c>
      <x:c r="M14" s="17" t="str">
        <x:v>Moderate</x:v>
      </x:c>
      <x:c r="N14" s="17" t="str">
        <x:v>Create de-identified analytics view and remove raw production access.</x:v>
      </x:c>
    </x:row>
    <x:row r="15">
      <x:c r="A15" s="17" t="str">
        <x:v>Access Review</x:v>
      </x:c>
      <x:c r="B15" s="17" t="str">
        <x:v>ARF-05</x:v>
      </x:c>
      <x:c r="C15" s="17" t="str">
        <x:v>Identity &amp; Access</x:v>
      </x:c>
      <x:c r="D15" s="17" t="str">
        <x:v>Finance user retained Payment Portal administrator privileges not required for routine duties.</x:v>
      </x:c>
      <x:c r="E15" s="17" t="n">
        <x:v>3</x:v>
      </x:c>
      <x:c r="F15" s="17" t="n">
        <x:v>4</x:v>
      </x:c>
      <x:c r="G15" s="17" t="n">
        <x:v>12</x:v>
      </x:c>
      <x:c r="H15" s="17" t="str">
        <x:v>High</x:v>
      </x:c>
      <x:c r="I15" s="17" t="str">
        <x:v>Finance System Owner</x:v>
      </x:c>
      <x:c r="J15" s="21" t="n">
        <x:v>46305</x:v>
      </x:c>
      <x:c r="K15" s="17" t="str">
        <x:v>Open</x:v>
      </x:c>
      <x:c r="L15" s="17" t="n">
        <x:v>6</x:v>
      </x:c>
      <x:c r="M15" s="17" t="str">
        <x:v>Moderate</x:v>
      </x:c>
      <x:c r="N15" s="17" t="str">
        <x:v>Replace administrator with finance-analyst role and validate refund permissions.</x:v>
      </x:c>
    </x:row>
    <x:row r="16">
      <x:c r="A16" s="17" t="str">
        <x:v>Access Review</x:v>
      </x:c>
      <x:c r="B16" s="17" t="str">
        <x:v>ARF-06</x:v>
      </x:c>
      <x:c r="C16" s="17" t="str">
        <x:v>Identity &amp; Access</x:v>
      </x:c>
      <x:c r="D16" s="17" t="str">
        <x:v>Vendor repository access had no documented expiration or completed sponsor attestation.</x:v>
      </x:c>
      <x:c r="E16" s="17" t="n">
        <x:v>3</x:v>
      </x:c>
      <x:c r="F16" s="17" t="n">
        <x:v>4</x:v>
      </x:c>
      <x:c r="G16" s="17" t="n">
        <x:v>12</x:v>
      </x:c>
      <x:c r="H16" s="17" t="str">
        <x:v>High</x:v>
      </x:c>
      <x:c r="I16" s="17" t="str">
        <x:v>Product Management</x:v>
      </x:c>
      <x:c r="J16" s="21" t="n">
        <x:v>46300</x:v>
      </x:c>
      <x:c r="K16" s="17" t="str">
        <x:v>Open</x:v>
      </x:c>
      <x:c r="L16" s="17" t="n">
        <x:v>6</x:v>
      </x:c>
      <x:c r="M16" s="17" t="str">
        <x:v>Moderate</x:v>
      </x:c>
      <x:c r="N16" s="17" t="str">
        <x:v>Record sponsor, scope, expiration, and quarterly review requirement.</x:v>
      </x:c>
    </x:row>
    <x:row r="17">
      <x:c r="A17" s="17" t="str">
        <x:v>Access Review</x:v>
      </x:c>
      <x:c r="B17" s="17" t="str">
        <x:v>ARF-07</x:v>
      </x:c>
      <x:c r="C17" s="17" t="str">
        <x:v>Identity &amp; Access</x:v>
      </x:c>
      <x:c r="D17" s="17" t="str">
        <x:v>Privileged wearable API service account did not have a documented owner.</x:v>
      </x:c>
      <x:c r="E17" s="17" t="n">
        <x:v>4</x:v>
      </x:c>
      <x:c r="F17" s="17" t="n">
        <x:v>5</x:v>
      </x:c>
      <x:c r="G17" s="17" t="n">
        <x:v>20</x:v>
      </x:c>
      <x:c r="H17" s="17" t="str">
        <x:v>Critical</x:v>
      </x:c>
      <x:c r="I17" s="17" t="str">
        <x:v>Software Development</x:v>
      </x:c>
      <x:c r="J17" s="21" t="n">
        <x:v>46303</x:v>
      </x:c>
      <x:c r="K17" s="17" t="str">
        <x:v>Open</x:v>
      </x:c>
      <x:c r="L17" s="17" t="n">
        <x:v>10</x:v>
      </x:c>
      <x:c r="M17" s="17" t="str">
        <x:v>High</x:v>
      </x:c>
      <x:c r="N17" s="17" t="str">
        <x:v>Assign owner, document purpose and permissions, rotate credential, and set review date.</x:v>
      </x:c>
    </x:row>
    <x:row r="18">
      <x:c r="A18" s="18" t="str">
        <x:v>Access Review</x:v>
      </x:c>
      <x:c r="B18" s="18" t="str">
        <x:v>ARF-08</x:v>
      </x:c>
      <x:c r="C18" s="18" t="str">
        <x:v>Identity &amp; Access</x:v>
      </x:c>
      <x:c r="D18" s="18" t="str">
        <x:v>Employee retained Support access after transferring to Marketing.</x:v>
      </x:c>
      <x:c r="E18" s="18" t="n">
        <x:v>3</x:v>
      </x:c>
      <x:c r="F18" s="18" t="n">
        <x:v>4</x:v>
      </x:c>
      <x:c r="G18" s="18" t="n">
        <x:v>12</x:v>
      </x:c>
      <x:c r="H18" s="18" t="str">
        <x:v>High</x:v>
      </x:c>
      <x:c r="I18" s="18" t="str">
        <x:v>Support System Owner</x:v>
      </x:c>
      <x:c r="J18" s="22" t="n">
        <x:v>46298</x:v>
      </x:c>
      <x:c r="K18" s="18" t="str">
        <x:v>Open</x:v>
      </x:c>
      <x:c r="L18" s="18" t="n">
        <x:v>4</x:v>
      </x:c>
      <x:c r="M18" s="18" t="str">
        <x:v>Low</x:v>
      </x:c>
      <x:c r="N18" s="18" t="str">
        <x:v>Remove former support role and search for other inherited permissions.</x:v>
      </x:c>
    </x:row>
  </x:sheetData>
  <x:mergeCells>
    <x:mergeCell ref="A1:N1"/>
    <x:mergeCell ref="A2:N2"/>
  </x:mergeCells>
  <x:conditionalFormatting sqref="H5:H18">
    <x:cfRule type="containsText" dxfId="54" priority="1" operator="containsText" text="Critical"/>
    <x:cfRule type="containsText" dxfId="55" priority="2" operator="containsText" text="High"/>
    <x:cfRule type="containsText" dxfId="56" priority="3" operator="containsText" text="Moderate"/>
    <x:cfRule type="containsText" dxfId="57" priority="4" operator="containsText" text="Implemented"/>
    <x:cfRule type="containsText" dxfId="58" priority="5" operator="containsText" text="Retain"/>
    <x:cfRule type="containsText" dxfId="59" priority="6" operator="containsText" text="Yes"/>
  </x:conditionalFormatting>
  <x:conditionalFormatting sqref="K5:K18">
    <x:cfRule type="containsText" dxfId="60" priority="7" operator="containsText" text="Critical"/>
    <x:cfRule type="containsText" dxfId="61" priority="8" operator="containsText" text="High"/>
    <x:cfRule type="containsText" dxfId="62" priority="9" operator="containsText" text="Moderate"/>
    <x:cfRule type="containsText" dxfId="63" priority="10" operator="containsText" text="Implemented"/>
    <x:cfRule type="containsText" dxfId="64" priority="11" operator="containsText" text="Retain"/>
    <x:cfRule type="containsText" dxfId="65" priority="12" operator="containsText" text="Yes"/>
  </x:conditionalFormatting>
  <x:conditionalFormatting sqref="M5:M18">
    <x:cfRule type="containsText" dxfId="66" priority="13" operator="containsText" text="Critical"/>
    <x:cfRule type="containsText" dxfId="67" priority="14" operator="containsText" text="High"/>
    <x:cfRule type="containsText" dxfId="68" priority="15" operator="containsText" text="Moderate"/>
    <x:cfRule type="containsText" dxfId="69" priority="16" operator="containsText" text="Implemented"/>
    <x:cfRule type="containsText" dxfId="70" priority="17" operator="containsText" text="Retain"/>
    <x:cfRule type="containsText" dxfId="71" priority="18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2e87cef8db7d47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3" t="str">
        <x:v>Trainory Dashboard Methodology</x:v>
      </x:c>
      <x:c r="B1" s="3" t="str">
        <x:v>Trainory Dashboard Methodology</x:v>
      </x:c>
      <x:c r="C1" s="3" t="str">
        <x:v>Trainory Dashboard Methodology</x:v>
      </x:c>
      <x:c r="D1" s="3" t="str">
        <x:v>Trainory Dashboard Methodology</x:v>
      </x:c>
      <x:c r="E1" s="3" t="str">
        <x:v>Trainory Dashboard Methodology</x:v>
      </x:c>
      <x:c r="F1" s="3" t="str">
        <x:v>Trainory Dashboard Methodology</x:v>
      </x:c>
    </x:row>
    <x:row r="2" ht="24" customHeight="1">
      <x:c r="A2" s="6" t="str">
        <x:v>Metric definitions, source data, and calculation methodology</x:v>
      </x:c>
      <x:c r="B2" s="6" t="str">
        <x:v>Metric definitions, source data, and calculation methodology</x:v>
      </x:c>
      <x:c r="C2" s="6" t="str">
        <x:v>Metric definitions, source data, and calculation methodology</x:v>
      </x:c>
      <x:c r="D2" s="6" t="str">
        <x:v>Metric definitions, source data, and calculation methodology</x:v>
      </x:c>
      <x:c r="E2" s="6" t="str">
        <x:v>Metric definitions, source data, and calculation methodology</x:v>
      </x:c>
      <x:c r="F2" s="6" t="str">
        <x:v>Metric definitions, source data, and calculation methodology</x:v>
      </x:c>
    </x:row>
    <x:row r="4">
      <x:c r="A4" s="8" t="str">
        <x:v>PURPOSE</x:v>
      </x:c>
      <x:c r="B4" s="8"/>
      <x:c r="C4" s="8"/>
      <x:c r="D4" s="8"/>
      <x:c r="E4" s="8"/>
      <x:c r="F4" s="8"/>
    </x:row>
    <x:row r="5">
      <x:c r="A5" s="185" t="str">
        <x:v>Summarizes risk, access-review, vendor, and NIST CSF data for management review.</x:v>
      </x:c>
      <x:c r="B5" s="186"/>
      <x:c r="C5" s="186"/>
      <x:c r="D5" s="186"/>
      <x:c r="E5" s="186"/>
      <x:c r="F5" s="187"/>
    </x:row>
    <x:row r="6">
      <x:c r="A6" s="188"/>
      <x:c r="B6" s="189"/>
      <x:c r="C6" s="189"/>
      <x:c r="D6" s="189"/>
      <x:c r="E6" s="189"/>
      <x:c r="F6" s="190"/>
    </x:row>
    <x:row r="7">
      <x:c r="A7" s="191"/>
      <x:c r="B7" s="192"/>
      <x:c r="C7" s="192"/>
      <x:c r="D7" s="192"/>
      <x:c r="E7" s="192"/>
      <x:c r="F7" s="193"/>
    </x:row>
    <x:row r="9">
      <x:c r="A9" s="8" t="str">
        <x:v>DASHBOARD STRUCTURE</x:v>
      </x:c>
      <x:c r="B9" s="8"/>
      <x:c r="C9" s="8"/>
      <x:c r="D9" s="8"/>
      <x:c r="E9" s="8"/>
      <x:c r="F9" s="8"/>
    </x:row>
    <x:row r="10" ht="34" customHeight="1">
      <x:c r="A10" s="12" t="str">
        <x:v>Area</x:v>
      </x:c>
      <x:c r="B10" s="12"/>
      <x:c r="C10" s="12" t="str">
        <x:v>Content</x:v>
      </x:c>
      <x:c r="D10" s="12"/>
      <x:c r="E10" s="12"/>
      <x:c r="F10" s="12"/>
    </x:row>
    <x:row r="11" ht="36" customHeight="1">
      <x:c r="A11" s="144" t="str">
        <x:v>Executive KPIs</x:v>
      </x:c>
      <x:c r="B11" s="144"/>
      <x:c r="C11" s="144" t="str">
        <x:v>Six core signals: risk exposure, control maturity, vendor assurance, findings, access exceptions, and risk reduction.</x:v>
      </x:c>
      <x:c r="D11" s="144"/>
      <x:c r="E11" s="144"/>
      <x:c r="F11" s="144"/>
    </x:row>
    <x:row r="12" ht="36" customHeight="1">
      <x:c r="A12" s="144" t="str">
        <x:v>Risk charts</x:v>
      </x:c>
      <x:c r="B12" s="144"/>
      <x:c r="C12" s="144" t="str">
        <x:v>Residual risk remaining after current controls.</x:v>
      </x:c>
      <x:c r="D12" s="144"/>
      <x:c r="E12" s="144"/>
      <x:c r="F12" s="144"/>
    </x:row>
    <x:row r="13" ht="36" customHeight="1">
      <x:c r="A13" s="144" t="str">
        <x:v>Control maturity</x:v>
      </x:c>
      <x:c r="B13" s="144"/>
      <x:c r="C13" s="144" t="str">
        <x:v>Conversion of Implemented, Partial, and Not Implemented statuses into a maturity score.</x:v>
      </x:c>
      <x:c r="D13" s="144"/>
      <x:c r="E13" s="144"/>
      <x:c r="F13" s="144"/>
    </x:row>
    <x:row r="14" ht="36" customHeight="1">
      <x:c r="A14" s="144" t="str">
        <x:v>Findings</x:v>
      </x:c>
      <x:c r="B14" s="144"/>
      <x:c r="C14" s="144" t="str">
        <x:v>Assessment gaps, owners, corrective actions, deadlines, and residual risk.</x:v>
      </x:c>
      <x:c r="D14" s="144"/>
      <x:c r="E14" s="144"/>
      <x:c r="F14" s="144"/>
    </x:row>
    <x:row r="15" ht="36" customHeight="1">
      <x:c r="A15" s="144" t="str">
        <x:v>Supporting data</x:v>
      </x:c>
      <x:c r="B15" s="144"/>
      <x:c r="C15" s="144" t="str">
        <x:v>Record-level data supporting each KPI and chart.</x:v>
      </x:c>
      <x:c r="D15" s="144"/>
      <x:c r="E15" s="144"/>
      <x:c r="F15" s="144"/>
    </x:row>
    <x:row r="18">
      <x:c r="A18" s="8"/>
      <x:c r="B18" s="8"/>
      <x:c r="C18" s="8"/>
      <x:c r="D18" s="8"/>
      <x:c r="E18" s="8"/>
      <x:c r="F18" s="8"/>
    </x:row>
    <x:row r="19">
      <x:c r="A19" s="158"/>
      <x:c r="B19" s="159"/>
      <x:c r="C19" s="159"/>
      <x:c r="D19" s="159"/>
      <x:c r="E19" s="159"/>
      <x:c r="F19" s="160"/>
    </x:row>
    <x:row r="20">
      <x:c r="A20" s="199"/>
      <x:c r="B20" s="200"/>
      <x:c r="C20" s="200"/>
      <x:c r="D20" s="200"/>
      <x:c r="E20" s="200"/>
      <x:c r="F20" s="201"/>
    </x:row>
    <x:row r="21">
      <x:c r="A21" s="199"/>
      <x:c r="B21" s="200"/>
      <x:c r="C21" s="200"/>
      <x:c r="D21" s="200"/>
      <x:c r="E21" s="200"/>
      <x:c r="F21" s="201"/>
    </x:row>
    <x:row r="22">
      <x:c r="A22" s="199"/>
      <x:c r="B22" s="200"/>
      <x:c r="C22" s="200"/>
      <x:c r="D22" s="200"/>
      <x:c r="E22" s="200"/>
      <x:c r="F22" s="201"/>
    </x:row>
    <x:row r="23">
      <x:c r="A23" s="161"/>
      <x:c r="B23" s="162"/>
      <x:c r="C23" s="162"/>
      <x:c r="D23" s="162"/>
      <x:c r="E23" s="162"/>
      <x:c r="F23" s="163"/>
    </x:row>
    <x:row r="25">
      <x:c r="A25" s="8" t="str">
        <x:v>ANALYTICS LOGIC</x:v>
      </x:c>
      <x:c r="B25" s="8"/>
      <x:c r="C25" s="8"/>
      <x:c r="D25" s="8"/>
      <x:c r="E25" s="8"/>
      <x:c r="F25" s="8"/>
    </x:row>
    <x:row r="26" ht="34" customHeight="1">
      <x:c r="A26" s="12" t="str">
        <x:v>Metric</x:v>
      </x:c>
      <x:c r="B26" s="12"/>
      <x:c r="C26" s="12" t="str">
        <x:v>Method</x:v>
      </x:c>
      <x:c r="D26" s="12"/>
      <x:c r="E26" s="12"/>
      <x:c r="F26" s="12"/>
    </x:row>
    <x:row r="27" ht="34" customHeight="1">
      <x:c r="A27" s="144" t="str">
        <x:v>Residual risk concentration</x:v>
      </x:c>
      <x:c r="B27" s="144"/>
      <x:c r="C27" s="144" t="str">
        <x:v>Counts the risk register's residual ratings after existing controls.</x:v>
      </x:c>
      <x:c r="D27" s="144"/>
      <x:c r="E27" s="144"/>
      <x:c r="F27" s="144"/>
    </x:row>
    <x:row r="28" ht="34" customHeight="1">
      <x:c r="A28" s="144" t="str">
        <x:v>CSF maturity</x:v>
      </x:c>
      <x:c r="B28" s="144"/>
      <x:c r="C28" s="144" t="str">
        <x:v>Implemented = 100%, Partial = 50%, Not Implemented = 0%, divided by outcomes assessed.</x:v>
      </x:c>
      <x:c r="D28" s="144"/>
      <x:c r="E28" s="144"/>
      <x:c r="F28" s="144"/>
    </x:row>
    <x:row r="29" ht="34" customHeight="1">
      <x:c r="A29" s="144" t="str">
        <x:v>Vendor control score</x:v>
      </x:c>
      <x:c r="B29" s="144"/>
      <x:c r="C29" s="144" t="str">
        <x:v>Total weighted points divided by total possible weighted points.</x:v>
      </x:c>
      <x:c r="D29" s="144"/>
      <x:c r="E29" s="144"/>
      <x:c r="F29" s="144"/>
    </x:row>
    <x:row r="30" ht="34" customHeight="1">
      <x:c r="A30" s="144" t="str">
        <x:v>Access exceptions</x:v>
      </x:c>
      <x:c r="B30" s="144"/>
      <x:c r="C30" s="144" t="str">
        <x:v>Counts access records requiring Modify, Remove, or Escalate action.</x:v>
      </x:c>
      <x:c r="D30" s="144"/>
      <x:c r="E30" s="144"/>
      <x:c r="F30" s="144"/>
    </x:row>
    <x:row r="31" ht="34" customHeight="1">
      <x:c r="A31" s="144" t="str">
        <x:v>Risk reduction</x:v>
      </x:c>
      <x:c r="B31" s="144"/>
      <x:c r="C31" s="144" t="str">
        <x:v>Compares total residual risk score with total inherent risk score.</x:v>
      </x:c>
      <x:c r="D31" s="144"/>
      <x:c r="E31" s="144"/>
      <x:c r="F31" s="144"/>
    </x:row>
    <x:row r="34">
      <x:c r="A34" s="202" t="str">
        <x:v>Case study note: Trainory and all assessment data are fictional.</x:v>
      </x:c>
      <x:c r="B34" s="202"/>
      <x:c r="C34" s="202"/>
      <x:c r="D34" s="202"/>
      <x:c r="E34" s="202"/>
      <x:c r="F34" s="202"/>
    </x:row>
    <x:row r="35">
      <x:c r="A35" s="202"/>
      <x:c r="B35" s="202"/>
      <x:c r="C35" s="202"/>
      <x:c r="D35" s="202"/>
      <x:c r="E35" s="202"/>
      <x:c r="F35" s="202"/>
    </x:row>
  </x:sheetData>
  <x:mergeCells>
    <x:mergeCell ref="A1:F1"/>
    <x:mergeCell ref="A2:F2"/>
    <x:mergeCell ref="A4:F4"/>
    <x:mergeCell ref="A5:F7"/>
    <x:mergeCell ref="A9:F9"/>
    <x:mergeCell ref="A10:B10"/>
    <x:mergeCell ref="C10:F10"/>
    <x:mergeCell ref="A11:B11"/>
    <x:mergeCell ref="C11:F11"/>
    <x:mergeCell ref="A12:B12"/>
    <x:mergeCell ref="C12:F12"/>
    <x:mergeCell ref="A13:B13"/>
    <x:mergeCell ref="C13:F13"/>
    <x:mergeCell ref="A14:B14"/>
    <x:mergeCell ref="C14:F14"/>
    <x:mergeCell ref="A15:B15"/>
    <x:mergeCell ref="C15:F15"/>
    <x:mergeCell ref="A18:F18"/>
    <x:mergeCell ref="A19:F23"/>
    <x:mergeCell ref="A25:F25"/>
    <x:mergeCell ref="A26:B26"/>
    <x:mergeCell ref="C26:F26"/>
    <x:mergeCell ref="A27:B27"/>
    <x:mergeCell ref="C27:F27"/>
    <x:mergeCell ref="A28:B28"/>
    <x:mergeCell ref="C28:F28"/>
    <x:mergeCell ref="A29:B29"/>
    <x:mergeCell ref="C29:F29"/>
    <x:mergeCell ref="A30:B30"/>
    <x:mergeCell ref="C30:F30"/>
    <x:mergeCell ref="A31:B31"/>
    <x:mergeCell ref="C31:F31"/>
    <x:mergeCell ref="A34:F35"/>
  </x:mergeCells>
  <x:pageMargins left="0.7" right="0.7" top="0.75" bottom="0.75" header="0.3" footer="0.3"/>
</x:worksheet>
</file>