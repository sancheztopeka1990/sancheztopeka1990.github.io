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a01562c6c149d3" /></Relationships>
</file>

<file path=xl/workbook.xml><?xml version="1.0" encoding="utf-8"?>
<x:workbook xmlns:x="http://schemas.openxmlformats.org/spreadsheetml/2006/main">
  <x:sheets>
    <x:sheet xmlns:r="http://schemas.openxmlformats.org/officeDocument/2006/relationships" name="Executive Summary" sheetId="1" r:id="Rad85572668d54111"/>
    <x:sheet xmlns:r="http://schemas.openxmlformats.org/officeDocument/2006/relationships" name="Access Review" sheetId="2" r:id="Recc2adbba1504bf0"/>
    <x:sheet xmlns:r="http://schemas.openxmlformats.org/officeDocument/2006/relationships" name="Findings" sheetId="3" r:id="Ra16840aeee6740f0"/>
    <x:sheet xmlns:r="http://schemas.openxmlformats.org/officeDocument/2006/relationships" name="Evidence Log" sheetId="4" r:id="R2479b878d5504794"/>
    <x:sheet xmlns:r="http://schemas.openxmlformats.org/officeDocument/2006/relationships" name="Reviewer Guide" sheetId="5" r:id="R2c86531e68d64c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22">
    <x:font>
      <x:sz val="11"/>
      <x:name val="Carlito"/>
    </x:font>
    <x:font>
      <x:b/>
      <x:sz val="20"/>
      <x:color rgb="FFFFFFFF"/>
      <x:name val="Carlito"/>
    </x:font>
    <x:font>
      <x:i/>
      <x:sz val="10"/>
      <x:color rgb="FF1F4D78"/>
      <x:name val="Carlito"/>
    </x:font>
    <x:font>
      <x:b/>
      <x:sz val="11"/>
      <x:color rgb="FFFFFFFF"/>
      <x:name val="Carlito"/>
    </x:font>
    <x:font>
      <x:sz val="10"/>
      <x:color rgb="FF111827"/>
      <x:name val="Carlito"/>
    </x:font>
    <x:font>
      <x:b/>
      <x:sz val="10"/>
      <x:color rgb="FF0B2545"/>
      <x:name val="Carlito"/>
    </x:font>
    <x:font>
      <x:b/>
      <x:sz val="11"/>
      <x:color rgb="FF0B2545"/>
      <x:name val="Carlito"/>
    </x:font>
    <x:font>
      <x:sz val="11"/>
      <x:color rgb="FF111827"/>
      <x:name val="Carlito"/>
    </x:font>
    <x:font>
      <x:i/>
      <x:sz val="9"/>
      <x:color rgb="FF667085"/>
      <x:name val="Carlito"/>
    </x:font>
    <x:font>
      <x:b/>
      <x:sz val="20"/>
      <x:color rgb="FFFFFFFF"/>
      <x:name val="Calibri"/>
    </x:font>
    <x:font>
      <x:i/>
      <x:sz val="10"/>
      <x:color rgb="FF1F4D78"/>
      <x:name val="Calibri"/>
    </x:font>
    <x:font>
      <x:sz val="11"/>
      <x:name val="Calibri"/>
    </x:font>
    <x:font>
      <x:b/>
      <x:sz val="11"/>
      <x:color rgb="FFFFFFFF"/>
      <x:name val="Calibri"/>
    </x:font>
    <x:font>
      <x:b/>
      <x:sz val="10"/>
      <x:color rgb="FF0B2545"/>
      <x:name val="Calibri"/>
    </x:font>
    <x:font>
      <x:sz val="10"/>
      <x:color rgb="FF111827"/>
      <x:name val="Calibri"/>
    </x:font>
    <x:font>
      <x:b/>
      <x:sz val="11"/>
      <x:color rgb="FF0B2545"/>
      <x:name val="Calibri"/>
    </x:font>
    <x:font>
      <x:sz val="11"/>
      <x:color rgb="FF111827"/>
      <x:name val="Calibri"/>
    </x:font>
    <x:font>
      <x:i/>
      <x:sz val="9"/>
      <x:color rgb="FF667085"/>
      <x:name val="Calibri"/>
    </x:font>
    <x:font>
      <x:sz val="11"/>
      <x:color rgb="FF0B2545"/>
      <x:name val="Carlito"/>
    </x:font>
    <x:font>
      <x:sz val="11"/>
      <x:color rgb="FF0B2545"/>
      <x:name val="Calibri"/>
    </x:font>
    <x:font>
      <x:b/>
      <x:sz val="16"/>
      <x:color rgb="FFFFFFFF"/>
      <x:name val="Aptos Display"/>
    </x:font>
    <x:font>
      <x:i/>
      <x:sz val="11"/>
      <x:color rgb="FF334155"/>
      <x:name val="Aptos"/>
    </x:font>
  </x:fonts>
  <x:fills count="19">
    <x:fill>
      <x:patternFill patternType="none"/>
    </x:fill>
    <x:fill>
      <x:patternFill patternType="gray125"/>
    </x:fill>
    <x:fill>
      <x:patternFill patternType="solid">
        <x:fgColor rgb="FF0B2545"/>
      </x:patternFill>
    </x:fill>
    <x:fill>
      <x:patternFill patternType="solid">
        <x:fgColor rgb="FFE8EEF5"/>
      </x:patternFill>
    </x:fill>
    <x:fill>
      <x:patternFill patternType="solid">
        <x:fgColor rgb="FF2E74B5"/>
      </x:patternFill>
    </x:fill>
    <x:fill>
      <x:patternFill patternType="solid">
        <x:fgColor rgb="FFF2F4F7"/>
      </x:patternFill>
    </x:fill>
    <x:fill>
      <x:patternFill patternType="solid">
        <x:fgColor rgb="FFF8FAFC"/>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
      <x:patternFill patternType="solid">
        <x:fgColor rgb="FF193B5B"/>
      </x:patternFill>
    </x:fill>
    <x:fill>
      <x:patternFill patternType="solid">
        <x:fgColor rgb="FFE7EFF6"/>
      </x:patternFill>
    </x:fill>
  </x:fills>
  <x:borders count="13">
    <x:border/>
    <x:border>
      <x:left style="thin">
        <x:color rgb="FF2E74B5"/>
      </x:left>
      <x:top style="thin">
        <x:color rgb="FF2E74B5"/>
      </x:top>
      <x:bottom style="thin">
        <x:color rgb="FF2E74B5"/>
      </x:bottom>
    </x:border>
    <x:border>
      <x:top style="thin">
        <x:color rgb="FF2E74B5"/>
      </x:top>
      <x:bottom style="thin">
        <x:color rgb="FF2E74B5"/>
      </x:bottom>
    </x:border>
    <x:border>
      <x:right style="thin">
        <x:color rgb="FF2E74B5"/>
      </x:right>
      <x:top style="thin">
        <x:color rgb="FF2E74B5"/>
      </x:top>
      <x:bottom style="thin">
        <x:color rgb="FF2E74B5"/>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1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4" fillId="0" borderId="0" xfId="0" applyNumberFormat="1" applyFont="1" applyFill="1" applyBorder="1"/>
    <x:xf numFmtId="0" fontId="4" fillId="0" borderId="4" xfId="0" applyNumberFormat="1" applyFont="1" applyFill="1" applyBorder="1"/>
    <x:xf numFmtId="0" fontId="4" fillId="0" borderId="4"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5" fillId="5" borderId="4"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0" fontId="6" fillId="0" borderId="4" xfId="0" applyNumberFormat="1" applyFont="1" applyFill="1" applyBorder="1" applyAlignment="1">
      <x:alignment vertical="top" wrapText="1"/>
    </x:xf>
    <x:xf numFmtId="201" fontId="6" fillId="0" borderId="4" xfId="0" applyNumberFormat="1" applyFont="1" applyFill="1" applyBorder="1" applyAlignment="1">
      <x:alignment vertical="top" wrapText="1"/>
    </x:xf>
    <x:xf numFmtId="0" fontId="6" fillId="3" borderId="0" xfId="0" applyNumberFormat="1" applyFont="1" applyFill="1" applyBorder="1"/>
    <x:xf numFmtId="0" fontId="6" fillId="3" borderId="4" xfId="0" applyNumberFormat="1" applyFont="1" applyFill="1" applyBorder="1"/>
    <x:xf numFmtId="0" fontId="6" fillId="3" borderId="4" xfId="0" applyNumberFormat="1" applyFont="1" applyFill="1" applyBorder="1" applyAlignment="1">
      <x:alignment wrapText="1"/>
    </x:xf>
    <x:xf numFmtId="0" fontId="6" fillId="3" borderId="4"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9" xfId="0" applyNumberFormat="1" applyFont="1" applyFill="1" applyBorder="1" applyAlignment="1">
      <x:alignment vertical="top" wrapText="1"/>
    </x:xf>
    <x:xf numFmtId="0" fontId="7" fillId="6" borderId="10" xfId="0" applyNumberFormat="1" applyFont="1" applyFill="1" applyBorder="1" applyAlignment="1">
      <x:alignment vertical="top" wrapText="1"/>
    </x:xf>
    <x:xf numFmtId="0" fontId="7" fillId="6" borderId="11" xfId="0" applyNumberFormat="1" applyFont="1" applyFill="1" applyBorder="1" applyAlignment="1">
      <x:alignment vertical="top" wrapText="1"/>
    </x:xf>
    <x:xf numFmtId="0" fontId="7" fillId="6" borderId="12" xfId="0" applyNumberFormat="1" applyFont="1" applyFill="1" applyBorder="1" applyAlignment="1">
      <x:alignment vertical="top"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9" fillId="2" borderId="0" xfId="0" applyNumberFormat="1" applyFont="1" applyFill="1" applyBorder="1" applyAlignment="1">
      <x:alignment vertical="center"/>
    </x:xf>
    <x:xf numFmtId="0" fontId="10" fillId="3" borderId="0" xfId="0" applyNumberFormat="1" applyFont="1" applyFill="1" applyBorder="1" applyAlignment="1">
      <x:alignment vertical="center"/>
    </x:xf>
    <x:xf numFmtId="0" fontId="11" fillId="0" borderId="0" xfId="0" applyNumberFormat="1" applyFont="1" applyFill="1" applyBorder="1"/>
    <x:xf numFmtId="0" fontId="12" fillId="4" borderId="1" xfId="0" applyNumberFormat="1" applyFont="1" applyFill="1" applyBorder="1" applyAlignment="1">
      <x:alignment vertical="center"/>
    </x:xf>
    <x:xf numFmtId="0" fontId="12" fillId="4" borderId="2" xfId="0" applyNumberFormat="1" applyFont="1" applyFill="1" applyBorder="1" applyAlignment="1">
      <x:alignment vertical="center"/>
    </x:xf>
    <x:xf numFmtId="0" fontId="12" fillId="4" borderId="3" xfId="0" applyNumberFormat="1" applyFont="1" applyFill="1" applyBorder="1" applyAlignment="1">
      <x:alignment vertical="center"/>
    </x:xf>
    <x:xf numFmtId="0" fontId="13" fillId="5" borderId="4" xfId="0" applyNumberFormat="1" applyFont="1" applyFill="1" applyBorder="1" applyAlignment="1">
      <x:alignment vertical="top" wrapText="1"/>
    </x:xf>
    <x:xf numFmtId="0" fontId="14" fillId="0" borderId="4"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200" fontId="14" fillId="0" borderId="4" xfId="0" applyNumberFormat="1" applyFont="1" applyFill="1" applyBorder="1" applyAlignment="1">
      <x:alignment vertical="top" wrapText="1"/>
    </x:xf>
    <x:xf numFmtId="201" fontId="15" fillId="0" borderId="4" xfId="0" applyNumberFormat="1" applyFont="1" applyFill="1" applyBorder="1" applyAlignment="1">
      <x:alignment vertical="top" wrapText="1"/>
    </x:xf>
    <x:xf numFmtId="0" fontId="15" fillId="3" borderId="4" xfId="0" applyNumberFormat="1" applyFont="1" applyFill="1" applyBorder="1" applyAlignment="1">
      <x:alignment vertical="center" wrapText="1"/>
    </x:xf>
    <x:xf numFmtId="0" fontId="16" fillId="6" borderId="5" xfId="0" applyNumberFormat="1" applyFont="1" applyFill="1" applyBorder="1" applyAlignment="1">
      <x:alignment vertical="top" wrapText="1"/>
    </x:xf>
    <x:xf numFmtId="0" fontId="16" fillId="6" borderId="6" xfId="0" applyNumberFormat="1" applyFont="1" applyFill="1" applyBorder="1" applyAlignment="1">
      <x:alignment vertical="top" wrapText="1"/>
    </x:xf>
    <x:xf numFmtId="0" fontId="16" fillId="6" borderId="7" xfId="0" applyNumberFormat="1" applyFont="1" applyFill="1" applyBorder="1" applyAlignment="1">
      <x:alignment vertical="top" wrapText="1"/>
    </x:xf>
    <x:xf numFmtId="0" fontId="16" fillId="6" borderId="8" xfId="0" applyNumberFormat="1" applyFont="1" applyFill="1" applyBorder="1" applyAlignment="1">
      <x:alignment vertical="top" wrapText="1"/>
    </x:xf>
    <x:xf numFmtId="0" fontId="16" fillId="6" borderId="0" xfId="0" applyNumberFormat="1" applyFont="1" applyFill="1" applyBorder="1" applyAlignment="1">
      <x:alignment vertical="top" wrapText="1"/>
    </x:xf>
    <x:xf numFmtId="0" fontId="16" fillId="6" borderId="9" xfId="0" applyNumberFormat="1" applyFont="1" applyFill="1" applyBorder="1" applyAlignment="1">
      <x:alignment vertical="top" wrapText="1"/>
    </x:xf>
    <x:xf numFmtId="0" fontId="16" fillId="6" borderId="10" xfId="0" applyNumberFormat="1" applyFont="1" applyFill="1" applyBorder="1" applyAlignment="1">
      <x:alignment vertical="top" wrapText="1"/>
    </x:xf>
    <x:xf numFmtId="0" fontId="16" fillId="6" borderId="11" xfId="0" applyNumberFormat="1" applyFont="1" applyFill="1" applyBorder="1" applyAlignment="1">
      <x:alignment vertical="top" wrapText="1"/>
    </x:xf>
    <x:xf numFmtId="0" fontId="16" fillId="6" borderId="12" xfId="0" applyNumberFormat="1" applyFont="1" applyFill="1" applyBorder="1" applyAlignment="1">
      <x:alignment vertical="top" wrapText="1"/>
    </x:xf>
    <x:xf numFmtId="0" fontId="17" fillId="5" borderId="0" xfId="0" applyNumberFormat="1" applyFont="1" applyFill="1" applyBorder="1" applyAlignment="1">
      <x:alignment wrapText="1"/>
    </x:xf>
    <x:xf numFmtId="0" fontId="4" fillId="6" borderId="0" xfId="0" applyNumberFormat="1" applyFont="1" applyFill="1" applyBorder="1"/>
    <x:xf numFmtId="0" fontId="4" fillId="6" borderId="5" xfId="0" applyNumberFormat="1" applyFont="1" applyFill="1" applyBorder="1"/>
    <x:xf numFmtId="0" fontId="4" fillId="6" borderId="6" xfId="0" applyNumberFormat="1" applyFont="1" applyFill="1" applyBorder="1"/>
    <x:xf numFmtId="0" fontId="4" fillId="6" borderId="7" xfId="0" applyNumberFormat="1" applyFont="1" applyFill="1" applyBorder="1"/>
    <x:xf numFmtId="0" fontId="4" fillId="6" borderId="8" xfId="0" applyNumberFormat="1" applyFont="1" applyFill="1" applyBorder="1"/>
    <x:xf numFmtId="0" fontId="4" fillId="6" borderId="9" xfId="0" applyNumberFormat="1" applyFont="1" applyFill="1" applyBorder="1"/>
    <x:xf numFmtId="0" fontId="4" fillId="6" borderId="10" xfId="0" applyNumberFormat="1" applyFont="1" applyFill="1" applyBorder="1"/>
    <x:xf numFmtId="0" fontId="4" fillId="6" borderId="11" xfId="0" applyNumberFormat="1" applyFont="1" applyFill="1" applyBorder="1"/>
    <x:xf numFmtId="0" fontId="4" fillId="6" borderId="12" xfId="0" applyNumberFormat="1" applyFont="1" applyFill="1" applyBorder="1"/>
    <x:xf numFmtId="0" fontId="4" fillId="6" borderId="5" xfId="0" applyNumberFormat="1" applyFont="1" applyFill="1" applyBorder="1" applyAlignment="1">
      <x:alignment wrapText="1"/>
    </x:xf>
    <x:xf numFmtId="0" fontId="4" fillId="6" borderId="6" xfId="0" applyNumberFormat="1" applyFont="1" applyFill="1" applyBorder="1" applyAlignment="1">
      <x:alignment wrapText="1"/>
    </x:xf>
    <x:xf numFmtId="0" fontId="4" fillId="6" borderId="7" xfId="0" applyNumberFormat="1" applyFont="1" applyFill="1" applyBorder="1" applyAlignment="1">
      <x:alignment wrapText="1"/>
    </x:xf>
    <x:xf numFmtId="0" fontId="4" fillId="6" borderId="8"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9" xfId="0" applyNumberFormat="1" applyFont="1" applyFill="1" applyBorder="1" applyAlignment="1">
      <x:alignment wrapText="1"/>
    </x:xf>
    <x:xf numFmtId="0" fontId="4" fillId="6" borderId="10" xfId="0" applyNumberFormat="1" applyFont="1" applyFill="1" applyBorder="1" applyAlignment="1">
      <x:alignment wrapText="1"/>
    </x:xf>
    <x:xf numFmtId="0" fontId="4" fillId="6" borderId="11" xfId="0" applyNumberFormat="1" applyFont="1" applyFill="1" applyBorder="1" applyAlignment="1">
      <x:alignment wrapText="1"/>
    </x:xf>
    <x:xf numFmtId="0" fontId="4" fillId="6" borderId="12" xfId="0" applyNumberFormat="1" applyFont="1" applyFill="1" applyBorder="1" applyAlignment="1">
      <x:alignment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4" fillId="6" borderId="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9" xfId="0" applyNumberFormat="1" applyFont="1" applyFill="1" applyBorder="1" applyAlignment="1">
      <x:alignment vertical="top" wrapText="1"/>
    </x:xf>
    <x:xf numFmtId="0" fontId="4" fillId="6" borderId="10" xfId="0" applyNumberFormat="1" applyFont="1" applyFill="1" applyBorder="1" applyAlignment="1">
      <x:alignment vertical="top" wrapText="1"/>
    </x:xf>
    <x:xf numFmtId="0" fontId="4" fillId="6" borderId="11" xfId="0" applyNumberFormat="1" applyFont="1" applyFill="1" applyBorder="1" applyAlignment="1">
      <x:alignment vertical="top" wrapText="1"/>
    </x:xf>
    <x:xf numFmtId="0" fontId="4" fillId="6" borderId="12" xfId="0" applyNumberFormat="1" applyFont="1" applyFill="1" applyBorder="1" applyAlignment="1">
      <x:alignment vertical="top" wrapText="1"/>
    </x:xf>
    <x:xf numFmtId="0" fontId="14" fillId="6" borderId="5" xfId="0" applyNumberFormat="1" applyFont="1" applyFill="1" applyBorder="1" applyAlignment="1">
      <x:alignment vertical="top" wrapText="1"/>
    </x:xf>
    <x:xf numFmtId="0" fontId="14" fillId="6" borderId="6" xfId="0" applyNumberFormat="1" applyFont="1" applyFill="1" applyBorder="1" applyAlignment="1">
      <x:alignment vertical="top" wrapText="1"/>
    </x:xf>
    <x:xf numFmtId="0" fontId="14" fillId="6" borderId="7" xfId="0" applyNumberFormat="1" applyFont="1" applyFill="1" applyBorder="1" applyAlignment="1">
      <x:alignment vertical="top" wrapText="1"/>
    </x:xf>
    <x:xf numFmtId="0" fontId="14" fillId="6" borderId="8" xfId="0" applyNumberFormat="1" applyFont="1" applyFill="1" applyBorder="1" applyAlignment="1">
      <x:alignment vertical="top" wrapText="1"/>
    </x:xf>
    <x:xf numFmtId="0" fontId="14" fillId="6" borderId="0" xfId="0" applyNumberFormat="1" applyFont="1" applyFill="1" applyBorder="1" applyAlignment="1">
      <x:alignment vertical="top" wrapText="1"/>
    </x:xf>
    <x:xf numFmtId="0" fontId="14" fillId="6" borderId="9" xfId="0" applyNumberFormat="1" applyFont="1" applyFill="1" applyBorder="1" applyAlignment="1">
      <x:alignment vertical="top" wrapText="1"/>
    </x:xf>
    <x:xf numFmtId="0" fontId="14" fillId="6" borderId="10" xfId="0" applyNumberFormat="1" applyFont="1" applyFill="1" applyBorder="1" applyAlignment="1">
      <x:alignment vertical="top" wrapText="1"/>
    </x:xf>
    <x:xf numFmtId="0" fontId="14" fillId="6" borderId="11" xfId="0" applyNumberFormat="1" applyFont="1" applyFill="1" applyBorder="1" applyAlignment="1">
      <x:alignment vertical="top" wrapText="1"/>
    </x:xf>
    <x:xf numFmtId="0" fontId="14" fillId="6" borderId="12" xfId="0" applyNumberFormat="1" applyFont="1" applyFill="1" applyBorder="1" applyAlignment="1">
      <x:alignment vertical="top" wrapText="1"/>
    </x:xf>
    <x:xf numFmtId="0" fontId="18" fillId="3" borderId="0" xfId="0" applyNumberFormat="1" applyFont="1" applyFill="1" applyBorder="1"/>
    <x:xf numFmtId="0" fontId="18" fillId="3" borderId="5" xfId="0" applyNumberFormat="1" applyFont="1" applyFill="1" applyBorder="1"/>
    <x:xf numFmtId="0" fontId="18" fillId="3" borderId="6" xfId="0" applyNumberFormat="1" applyFont="1" applyFill="1" applyBorder="1"/>
    <x:xf numFmtId="0" fontId="18" fillId="3" borderId="7" xfId="0" applyNumberFormat="1" applyFont="1" applyFill="1" applyBorder="1"/>
    <x:xf numFmtId="0" fontId="18" fillId="3" borderId="8" xfId="0" applyNumberFormat="1" applyFont="1" applyFill="1" applyBorder="1"/>
    <x:xf numFmtId="0" fontId="18" fillId="3" borderId="9" xfId="0" applyNumberFormat="1" applyFont="1" applyFill="1" applyBorder="1"/>
    <x:xf numFmtId="0" fontId="18" fillId="3" borderId="10" xfId="0" applyNumberFormat="1" applyFont="1" applyFill="1" applyBorder="1"/>
    <x:xf numFmtId="0" fontId="18" fillId="3" borderId="11" xfId="0" applyNumberFormat="1" applyFont="1" applyFill="1" applyBorder="1"/>
    <x:xf numFmtId="0" fontId="18" fillId="3" borderId="12" xfId="0" applyNumberFormat="1" applyFont="1" applyFill="1" applyBorder="1"/>
    <x:xf numFmtId="0" fontId="18" fillId="3" borderId="5" xfId="0" applyNumberFormat="1" applyFont="1" applyFill="1" applyBorder="1" applyAlignment="1">
      <x:alignment wrapText="1"/>
    </x:xf>
    <x:xf numFmtId="0" fontId="18" fillId="3" borderId="6" xfId="0" applyNumberFormat="1" applyFont="1" applyFill="1" applyBorder="1" applyAlignment="1">
      <x:alignment wrapText="1"/>
    </x:xf>
    <x:xf numFmtId="0" fontId="18" fillId="3" borderId="7" xfId="0" applyNumberFormat="1" applyFont="1" applyFill="1" applyBorder="1" applyAlignment="1">
      <x:alignment wrapText="1"/>
    </x:xf>
    <x:xf numFmtId="0" fontId="18" fillId="3" borderId="8" xfId="0" applyNumberFormat="1" applyFont="1" applyFill="1" applyBorder="1" applyAlignment="1">
      <x:alignment wrapText="1"/>
    </x:xf>
    <x:xf numFmtId="0" fontId="18" fillId="3" borderId="0" xfId="0" applyNumberFormat="1" applyFont="1" applyFill="1" applyBorder="1" applyAlignment="1">
      <x:alignment wrapText="1"/>
    </x:xf>
    <x:xf numFmtId="0" fontId="18" fillId="3" borderId="9" xfId="0" applyNumberFormat="1" applyFont="1" applyFill="1" applyBorder="1" applyAlignment="1">
      <x:alignment wrapText="1"/>
    </x:xf>
    <x:xf numFmtId="0" fontId="18" fillId="3" borderId="10" xfId="0" applyNumberFormat="1" applyFont="1" applyFill="1" applyBorder="1" applyAlignment="1">
      <x:alignment wrapText="1"/>
    </x:xf>
    <x:xf numFmtId="0" fontId="18" fillId="3" borderId="11" xfId="0" applyNumberFormat="1" applyFont="1" applyFill="1" applyBorder="1" applyAlignment="1">
      <x:alignment wrapText="1"/>
    </x:xf>
    <x:xf numFmtId="0" fontId="18" fillId="3" borderId="12" xfId="0" applyNumberFormat="1" applyFont="1" applyFill="1" applyBorder="1" applyAlignment="1">
      <x:alignment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8" fillId="3" borderId="8" xfId="0" applyNumberFormat="1" applyFont="1" applyFill="1" applyBorder="1" applyAlignment="1">
      <x:alignment vertical="top" wrapText="1"/>
    </x:xf>
    <x:xf numFmtId="0" fontId="18" fillId="3" borderId="0" xfId="0" applyNumberFormat="1" applyFont="1" applyFill="1" applyBorder="1" applyAlignment="1">
      <x:alignment vertical="top" wrapText="1"/>
    </x:xf>
    <x:xf numFmtId="0" fontId="18" fillId="3" borderId="9" xfId="0" applyNumberFormat="1" applyFont="1" applyFill="1" applyBorder="1" applyAlignment="1">
      <x:alignment vertical="top" wrapText="1"/>
    </x:xf>
    <x:xf numFmtId="0" fontId="18" fillId="3" borderId="10" xfId="0" applyNumberFormat="1" applyFont="1" applyFill="1" applyBorder="1" applyAlignment="1">
      <x:alignment vertical="top" wrapText="1"/>
    </x:xf>
    <x:xf numFmtId="0" fontId="18" fillId="3" borderId="11" xfId="0" applyNumberFormat="1" applyFont="1" applyFill="1" applyBorder="1" applyAlignment="1">
      <x:alignment vertical="top" wrapText="1"/>
    </x:xf>
    <x:xf numFmtId="0" fontId="18" fillId="3" borderId="12" xfId="0" applyNumberFormat="1" applyFont="1" applyFill="1" applyBorder="1" applyAlignment="1">
      <x:alignment vertical="top" wrapText="1"/>
    </x:xf>
    <x:xf numFmtId="0" fontId="19" fillId="3" borderId="5" xfId="0" applyNumberFormat="1" applyFont="1" applyFill="1" applyBorder="1" applyAlignment="1">
      <x:alignment vertical="top" wrapText="1"/>
    </x:xf>
    <x:xf numFmtId="0" fontId="19" fillId="3" borderId="6" xfId="0" applyNumberFormat="1" applyFont="1" applyFill="1" applyBorder="1" applyAlignment="1">
      <x:alignment vertical="top" wrapText="1"/>
    </x:xf>
    <x:xf numFmtId="0" fontId="19" fillId="3" borderId="7" xfId="0" applyNumberFormat="1" applyFont="1" applyFill="1" applyBorder="1" applyAlignment="1">
      <x:alignment vertical="top" wrapText="1"/>
    </x:xf>
    <x:xf numFmtId="0" fontId="19" fillId="3" borderId="8" xfId="0" applyNumberFormat="1" applyFont="1" applyFill="1" applyBorder="1" applyAlignment="1">
      <x:alignment vertical="top" wrapText="1"/>
    </x:xf>
    <x:xf numFmtId="0" fontId="19" fillId="3" borderId="0" xfId="0" applyNumberFormat="1" applyFont="1" applyFill="1" applyBorder="1" applyAlignment="1">
      <x:alignment vertical="top" wrapText="1"/>
    </x:xf>
    <x:xf numFmtId="0" fontId="19" fillId="3" borderId="9" xfId="0" applyNumberFormat="1" applyFont="1" applyFill="1" applyBorder="1" applyAlignment="1">
      <x:alignment vertical="top" wrapText="1"/>
    </x:xf>
    <x:xf numFmtId="0" fontId="19" fillId="3" borderId="10" xfId="0" applyNumberFormat="1" applyFont="1" applyFill="1" applyBorder="1" applyAlignment="1">
      <x:alignment vertical="top" wrapText="1"/>
    </x:xf>
    <x:xf numFmtId="0" fontId="19" fillId="3" borderId="11" xfId="0" applyNumberFormat="1" applyFont="1" applyFill="1" applyBorder="1" applyAlignment="1">
      <x:alignment vertical="top" wrapText="1"/>
    </x:xf>
    <x:xf numFmtId="0" fontId="19" fillId="3" borderId="12" xfId="0" applyNumberFormat="1" applyFont="1" applyFill="1" applyBorder="1" applyAlignment="1">
      <x:alignment vertical="top" wrapText="1"/>
    </x:xf>
    <x:xf numFmtId="0" fontId="9" fillId="7" borderId="0" xfId="0" applyNumberFormat="1" applyFont="1" applyFill="1" applyBorder="1" applyAlignment="1">
      <x:alignment vertical="center"/>
    </x:xf>
    <x:xf numFmtId="0" fontId="20" fillId="7" borderId="0" xfId="0" applyNumberFormat="1" applyFont="1" applyFill="1" applyBorder="1" applyAlignment="1">
      <x:alignment vertical="center"/>
    </x:xf>
    <x:xf numFmtId="0" fontId="10" fillId="8" borderId="0" xfId="0" applyNumberFormat="1" applyFont="1" applyFill="1" applyBorder="1" applyAlignment="1">
      <x:alignment vertical="center"/>
    </x:xf>
    <x:xf numFmtId="0" fontId="21" fillId="8" borderId="0" xfId="0" applyNumberFormat="1" applyFont="1" applyFill="1" applyBorder="1" applyAlignment="1">
      <x:alignment vertical="center"/>
    </x:xf>
    <x:xf numFmtId="0" fontId="20" fillId="9" borderId="0" xfId="0" applyNumberFormat="1" applyFont="1" applyFill="1" applyBorder="1" applyAlignment="1">
      <x:alignment vertical="center"/>
    </x:xf>
    <x:xf numFmtId="0" fontId="21" fillId="10" borderId="0" xfId="0" applyNumberFormat="1" applyFont="1" applyFill="1" applyBorder="1" applyAlignment="1">
      <x:alignment vertical="center"/>
    </x:xf>
    <x:xf numFmtId="0" fontId="20" fillId="11" borderId="0" xfId="0" applyNumberFormat="1" applyFont="1" applyFill="1" applyBorder="1" applyAlignment="1">
      <x:alignment vertical="center"/>
    </x:xf>
    <x:xf numFmtId="0" fontId="21" fillId="12" borderId="0" xfId="0" applyNumberFormat="1" applyFont="1" applyFill="1" applyBorder="1" applyAlignment="1">
      <x:alignment vertical="center"/>
    </x:xf>
    <x:xf numFmtId="0" fontId="20" fillId="13" borderId="0" xfId="0" applyNumberFormat="1" applyFont="1" applyFill="1" applyBorder="1" applyAlignment="1">
      <x:alignment vertical="center"/>
    </x:xf>
    <x:xf numFmtId="0" fontId="21" fillId="14" borderId="0" xfId="0" applyNumberFormat="1" applyFont="1" applyFill="1" applyBorder="1" applyAlignment="1">
      <x:alignment vertical="center"/>
    </x:xf>
    <x:xf numFmtId="0" fontId="20" fillId="15" borderId="0" xfId="0" applyNumberFormat="1" applyFont="1" applyFill="1" applyBorder="1" applyAlignment="1">
      <x:alignment vertical="center"/>
    </x:xf>
    <x:xf numFmtId="0" fontId="21" fillId="16" borderId="0" xfId="0" applyNumberFormat="1" applyFont="1" applyFill="1" applyBorder="1" applyAlignment="1">
      <x:alignment vertical="center"/>
    </x:xf>
    <x:xf numFmtId="0" fontId="20" fillId="17" borderId="0" xfId="0" applyNumberFormat="1" applyFont="1" applyFill="1" applyBorder="1" applyAlignment="1">
      <x:alignment vertical="center"/>
    </x:xf>
    <x:xf numFmtId="0" fontId="21" fillId="18" borderId="0" xfId="0" applyNumberFormat="1" applyFont="1" applyFill="1" applyBorder="1" applyAlignment="1">
      <x:alignment vertical="center"/>
    </x:xf>
  </x:cellXfs>
  <x:cellStyles count="1">
    <x:cellStyle name="Normal" xfId="0"/>
  </x:cellStyles>
  <x:dxfs count="15">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91B1B"/>
      </x:font>
      <x:fill>
        <x:patternFill>
          <x:bgColor rgb="FFFFEDD5"/>
        </x:patternFill>
      </x:fill>
    </x:dxf>
    <x:dxf>
      <x:font>
        <x:b/>
        <x:color rgb="FF991B1B"/>
      </x:font>
      <x:fill>
        <x:patternFill>
          <x:bgColor rgb="FFFEE2E2"/>
        </x:patternFill>
      </x:fill>
    </x:dxf>
    <x:dxf>
      <x:font>
        <x:b/>
        <x:color rgb="FF991B1B"/>
      </x:font>
      <x:fill>
        <x:patternFill>
          <x:bgColor rgb="FFFEE2E2"/>
        </x:patternFill>
      </x:fill>
    </x:dxf>
    <x:dxf>
      <x:font>
        <x:b/>
        <x:color rgb="FF991B1B"/>
      </x:font>
      <x:fill>
        <x:patternFill>
          <x:bgColor rgb="FFFFEDD5"/>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991B1B"/>
      </x:font>
      <x:fill>
        <x:patternFill>
          <x:bgColor rgb="FFFFEDD5"/>
        </x:patternFill>
      </x:fill>
    </x:dxf>
    <x:dxf>
      <x:font>
        <x:b/>
        <x:color rgb="FF92400E"/>
      </x:font>
      <x:fill>
        <x:patternFill>
          <x:bgColor rgb="FFFEF3C7"/>
        </x:patternFill>
      </x:fill>
    </x:dxf>
    <x:dxf>
      <x:font>
        <x:b/>
        <x:color rgb="FF166534"/>
      </x:font>
      <x:fill>
        <x:patternFill>
          <x:bgColor rgb="FFDCFCE7"/>
        </x:patternFill>
      </x:fill>
    </x:dxf>
    <x:dxf>
      <x:font>
        <x:color rgb="FF166534"/>
      </x:font>
      <x:fill>
        <x:patternFill>
          <x:bgColor rgb="FFDCFCE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c0ffafe57d4aff" /><Relationship Type="http://schemas.openxmlformats.org/officeDocument/2006/relationships/theme" Target="/xl/theme/theme1.xml" Id="R4b6adec721f04b4e" /><Relationship Type="http://schemas.openxmlformats.org/officeDocument/2006/relationships/sharedStrings" Target="/xl/sharedStrings.xml" Id="Rce748512fb2640a7" /><Relationship Type="http://schemas.openxmlformats.org/officeDocument/2006/relationships/worksheet" Target="/xl/worksheets/sheet1.xml" Id="Rad85572668d54111" /><Relationship Type="http://schemas.openxmlformats.org/officeDocument/2006/relationships/worksheet" Target="/xl/worksheets/sheet2.xml" Id="Recc2adbba1504bf0" /><Relationship Type="http://schemas.openxmlformats.org/officeDocument/2006/relationships/worksheet" Target="/xl/worksheets/sheet3.xml" Id="Ra16840aeee6740f0" /><Relationship Type="http://schemas.openxmlformats.org/officeDocument/2006/relationships/worksheet" Target="/xl/worksheets/sheet4.xml" Id="R2479b878d5504794" /><Relationship Type="http://schemas.openxmlformats.org/officeDocument/2006/relationships/worksheet" Target="/xl/worksheets/sheet5.xml" Id="R2c86531e68d64c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42e61c860c6d46a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Access Review Decisions</a:t>
            </a:r>
          </a:p>
        </c:rich>
      </c:tx>
      <c:overlay val="0"/>
    </c:title>
    <c:plotArea>
      <c:barChart>
        <c:barDir val="col"/>
        <c:varyColors val="0"/>
        <c:ser>
          <c:idx val="0"/>
          <c:order val="0"/>
          <c:tx>
            <c:v>Records</c:v>
          </c:tx>
          <c:cat>
            <c:strRef>
              <c:f>'Executive Summary'!$A$15:$A$18</c:f>
              <c:strCache>
                <c:ptCount val="0"/>
              </c:strCache>
            </c:strRef>
          </c:cat>
          <c:val>
            <c:numRef>
              <c:f>'Executive Summary'!$B$15:$B$18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10</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2e61c860c6d46a1"/>
        </a:graphicData>
      </a:graphic>
    </xdr:graphicFrame>
    <xdr:clientData/>
  </xdr:twoCellAnchor>
</xdr:wsDr>
</file>

<file path=xl/tables/table1.xml><?xml version="1.0" encoding="utf-8"?>
<x:table xmlns:x="http://schemas.openxmlformats.org/spreadsheetml/2006/main" id="1" name="QuarterlyAccessReviewTable" displayName="QuarterlyAccessReviewTable" ref="A11:X39" headerRowCount="1" totalsRowCount="0" totalsRowShown="0">
  <x:tableColumns count="24">
    <x:tableColumn id="1" name="Record ID"/>
    <x:tableColumn id="2" name="User / Account ID"/>
    <x:tableColumn id="3" name="Name / Account"/>
    <x:tableColumn id="4" name="Account type"/>
    <x:tableColumn id="5" name="Department"/>
    <x:tableColumn id="6" name="Manager / Sponsor"/>
    <x:tableColumn id="7" name="Employment status"/>
    <x:tableColumn id="8" name="System"/>
    <x:tableColumn id="9" name="Asset ID"/>
    <x:tableColumn id="10" name="Assigned role"/>
    <x:tableColumn id="11" name="Privilege level"/>
    <x:tableColumn id="12" name="Data access"/>
    <x:tableColumn id="13" name="Last login"/>
    <x:tableColumn id="14" name="MFA"/>
    <x:tableColumn id="15" name="Business justification"/>
    <x:tableColumn id="16" name="Current need?"/>
    <x:tableColumn id="17" name="Manager attestation"/>
    <x:tableColumn id="18" name="Reviewer decision"/>
    <x:tableColumn id="19" name="Exception flag"/>
    <x:tableColumn id="20" name="Evidence ID"/>
    <x:tableColumn id="21" name="Required action"/>
    <x:tableColumn id="22" name="Action owner"/>
    <x:tableColumn id="23" name="Due date"/>
    <x:tableColumn id="24" name="Remediation status"/>
  </x:tableColumns>
  <x:tableStyleInfo name="TableStyleMedium2" showFirstColumn="0" showLastColumn="0" showRowStripes="1" showColumnStripes="0"/>
</x:table>
</file>

<file path=xl/tables/table2.xml><?xml version="1.0" encoding="utf-8"?>
<x:table xmlns:x="http://schemas.openxmlformats.org/spreadsheetml/2006/main" id="2" name="AccessFindingsTable" displayName="AccessFindingsTable" ref="A11:R19" headerRowCount="1" totalsRowCount="0" totalsRowShown="0">
  <x:tableColumns count="18">
    <x:tableColumn id="1" name="Finding ID"/>
    <x:tableColumn id="2" name="Access record(s)"/>
    <x:tableColumn id="3" name="Finding"/>
    <x:tableColumn id="4" name="Policy / control"/>
    <x:tableColumn id="5" name="Likelihood"/>
    <x:tableColumn id="6" name="Impact"/>
    <x:tableColumn id="7" name="Risk score"/>
    <x:tableColumn id="8" name="Rating"/>
    <x:tableColumn id="9" name="Corrective action"/>
    <x:tableColumn id="10" name="Owner"/>
    <x:tableColumn id="11" name="Target date"/>
    <x:tableColumn id="12" name="Evidence required"/>
    <x:tableColumn id="13" name="Status"/>
    <x:tableColumn id="14" name="Residual likelihood"/>
    <x:tableColumn id="15" name="Residual impact"/>
    <x:tableColumn id="16" name="Residual score"/>
    <x:tableColumn id="17" name="Residual rating"/>
    <x:tableColumn id="18" name="Closure / acceptance rationale"/>
  </x:tableColumns>
  <x:tableStyleInfo name="TableStyleMedium2" showFirstColumn="0" showLastColumn="0" showRowStripes="1" showColumnStripes="0"/>
</x:table>
</file>

<file path=xl/tables/table3.xml><?xml version="1.0" encoding="utf-8"?>
<x:table xmlns:x="http://schemas.openxmlformats.org/spreadsheetml/2006/main" id="3" name="AccessEvidenceTable" displayName="AccessEvidenceTable" ref="A6:K19" headerRowCount="1" totalsRowCount="0" totalsRowShown="0">
  <x:tableColumns count="11">
    <x:tableColumn id="1" name="Evidence ID"/>
    <x:tableColumn id="2" name="Artifact"/>
    <x:tableColumn id="3" name="Source / owner"/>
    <x:tableColumn id="4" name="Period"/>
    <x:tableColumn id="5" name="Purpose"/>
    <x:tableColumn id="6" name="Related records"/>
    <x:tableColumn id="7" name="Collected date"/>
    <x:tableColumn id="8" name="Reviewer"/>
    <x:tableColumn id="9" name="Result"/>
    <x:tableColumn id="10" name="Retention location"/>
    <x:tableColumn id="11"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8332fc19b634a0d" /></Relationships>
</file>

<file path=xl/worksheets/_rels/sheet2.xml.rels>&#65279;<?xml version="1.0" encoding="utf-8"?><Relationships xmlns="http://schemas.openxmlformats.org/package/2006/relationships"><Relationship Type="http://schemas.openxmlformats.org/officeDocument/2006/relationships/table" Target="/xl/tables/table1.xml" Id="Rc3654a28f2094f77" /></Relationships>
</file>

<file path=xl/worksheets/_rels/sheet3.xml.rels>&#65279;<?xml version="1.0" encoding="utf-8"?><Relationships xmlns="http://schemas.openxmlformats.org/package/2006/relationships"><Relationship Type="http://schemas.openxmlformats.org/officeDocument/2006/relationships/table" Target="/xl/tables/table2.xml" Id="R60e018e3cc594ba4" /></Relationships>
</file>

<file path=xl/worksheets/_rels/sheet4.xml.rels>&#65279;<?xml version="1.0" encoding="utf-8"?><Relationships xmlns="http://schemas.openxmlformats.org/package/2006/relationships"><Relationship Type="http://schemas.openxmlformats.org/officeDocument/2006/relationships/table" Target="/xl/tables/table3.xml" Id="R13bb6d1ac1414074"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66" hidden="0" customWidth="1"/>
    <x:col min="4" max="4" width="25" hidden="0" customWidth="1"/>
    <x:col min="5" max="5" width="15" hidden="0" customWidth="1"/>
  </x:cols>
  <x:sheetData>
    <x:row r="1" ht="34" customHeight="1">
      <x:c r="A1" s="60" t="str">
        <x:v>Trainory | Quarterly Access Review</x:v>
      </x:c>
      <x:c r="B1" s="60"/>
      <x:c r="C1" s="60"/>
      <x:c r="D1" s="60"/>
      <x:c r="E1" s="60"/>
      <x:c r="F1" s="60"/>
      <x:c r="G1" s="60"/>
      <x:c r="H1" s="60"/>
      <x:c r="I1" s="60"/>
      <x:c r="J1" s="60"/>
    </x:row>
    <x:row r="2" ht="24" customHeight="1">
      <x:c r="A2" s="61" t="str">
        <x:v>User access certification and audit-evidence package | Q4 2026</x:v>
      </x:c>
      <x:c r="B2" s="61" t="str">
        <x:v>User access certification and audit-evidence package | Q4 2026</x:v>
      </x:c>
      <x:c r="C2" s="61" t="str">
        <x:v>User access certification and audit-evidence package | Q4 2026</x:v>
      </x:c>
      <x:c r="D2" s="61" t="str">
        <x:v>User access certification and audit-evidence package | Q4 2026</x:v>
      </x:c>
      <x:c r="E2" s="61" t="str">
        <x:v>User access certification and audit-evidence package | Q4 2026</x:v>
      </x:c>
      <x:c r="F2" s="61" t="str">
        <x:v>User access certification and audit-evidence package | Q4 2026</x:v>
      </x:c>
      <x:c r="G2" s="61" t="str">
        <x:v>User access certification and audit-evidence package | Q4 2026</x:v>
      </x:c>
      <x:c r="H2" s="61" t="str">
        <x:v>User access certification and audit-evidence package | Q4 2026</x:v>
      </x:c>
      <x:c r="I2" s="61" t="str">
        <x:v>User access certification and audit-evidence package | Q4 2026</x:v>
      </x:c>
      <x:c r="J2" s="61" t="str">
        <x:v>User access certification and audit-evidence package | Q4 2026</x:v>
      </x:c>
    </x:row>
    <x:row r="3">
      <x:c r="A3" s="62"/>
      <x:c r="B3" s="62"/>
      <x:c r="C3" s="62"/>
      <x:c r="D3" s="62"/>
      <x:c r="E3" s="62"/>
      <x:c r="F3" s="62"/>
      <x:c r="G3" s="62"/>
      <x:c r="H3" s="62"/>
      <x:c r="I3" s="62"/>
      <x:c r="J3" s="62"/>
    </x:row>
    <x:row r="4" ht="23" customHeight="1">
      <x:c r="A4" s="63" t="str">
        <x:v>Review scope and ownership</x:v>
      </x:c>
      <x:c r="B4" s="64"/>
      <x:c r="C4" s="64"/>
      <x:c r="D4" s="64"/>
      <x:c r="E4" s="64"/>
      <x:c r="F4" s="64"/>
      <x:c r="G4" s="64"/>
      <x:c r="H4" s="64"/>
      <x:c r="I4" s="64"/>
      <x:c r="J4" s="65"/>
    </x:row>
    <x:row r="5">
      <x:c r="A5" s="66" t="str">
        <x:v>Review period</x:v>
      </x:c>
      <x:c r="B5" s="67" t="str">
        <x:v>Q4 2026</x:v>
      </x:c>
      <x:c r="C5" s="62"/>
      <x:c r="D5" s="66" t="str">
        <x:v>Access records reviewed</x:v>
      </x:c>
      <x:c r="E5" s="68" t="n">
        <x:f>COUNTA('Access Review'!$A$12:$A$39)</x:f>
        <x:v>28</x:v>
      </x:c>
      <x:c r="F5" s="62"/>
      <x:c r="G5" s="62"/>
      <x:c r="H5" s="62"/>
      <x:c r="I5" s="62"/>
      <x:c r="J5" s="62"/>
    </x:row>
    <x:row r="6">
      <x:c r="A6" s="66" t="str">
        <x:v>Review date</x:v>
      </x:c>
      <x:c r="B6" s="69" t="n">
        <x:v>46296</x:v>
      </x:c>
      <x:c r="C6" s="62"/>
      <x:c r="D6" s="66" t="str">
        <x:v>Retain</x:v>
      </x:c>
      <x:c r="E6" s="68" t="n">
        <x:f>COUNTIF('Access Review'!$R$12:$R$39,"Retain")</x:f>
        <x:v>17</x:v>
      </x:c>
      <x:c r="F6" s="62"/>
      <x:c r="G6" s="62"/>
      <x:c r="H6" s="62"/>
      <x:c r="I6" s="62"/>
      <x:c r="J6" s="62"/>
    </x:row>
    <x:row r="7">
      <x:c r="A7" s="66" t="str">
        <x:v>Review owner</x:v>
      </x:c>
      <x:c r="B7" s="67" t="str">
        <x:v>Cybersecurity and Compliance</x:v>
      </x:c>
      <x:c r="C7" s="62"/>
      <x:c r="D7" s="66" t="str">
        <x:v>Modify</x:v>
      </x:c>
      <x:c r="E7" s="68" t="n">
        <x:f>COUNTIF('Access Review'!$R$12:$R$39,"Modify")</x:f>
        <x:v>3</x:v>
      </x:c>
      <x:c r="F7" s="62"/>
      <x:c r="G7" s="62"/>
      <x:c r="H7" s="62"/>
      <x:c r="I7" s="62"/>
      <x:c r="J7" s="62"/>
    </x:row>
    <x:row r="8">
      <x:c r="A8" s="66" t="str">
        <x:v>Approvers</x:v>
      </x:c>
      <x:c r="B8" s="67" t="str">
        <x:v>System Owners and Department Managers</x:v>
      </x:c>
      <x:c r="C8" s="62"/>
      <x:c r="D8" s="66" t="str">
        <x:v>Remove</x:v>
      </x:c>
      <x:c r="E8" s="68" t="n">
        <x:f>COUNTIF('Access Review'!$R$12:$R$39,"Remove")</x:f>
        <x:v>5</x:v>
      </x:c>
      <x:c r="F8" s="62"/>
      <x:c r="G8" s="62"/>
      <x:c r="H8" s="62"/>
      <x:c r="I8" s="62"/>
      <x:c r="J8" s="62"/>
    </x:row>
    <x:row r="9">
      <x:c r="A9" s="66" t="str">
        <x:v>Population</x:v>
      </x:c>
      <x:c r="B9" s="67" t="str">
        <x:v>Workforce, contractors, vendors, and service accounts</x:v>
      </x:c>
      <x:c r="C9" s="62"/>
      <x:c r="D9" s="66" t="str">
        <x:v>Escalate</x:v>
      </x:c>
      <x:c r="E9" s="68" t="n">
        <x:f>COUNTIF('Access Review'!$R$12:$R$39,"Escalate")</x:f>
        <x:v>3</x:v>
      </x:c>
      <x:c r="F9" s="62"/>
      <x:c r="G9" s="62"/>
      <x:c r="H9" s="62"/>
      <x:c r="I9" s="62"/>
      <x:c r="J9" s="62"/>
    </x:row>
    <x:row r="10">
      <x:c r="A10" s="66" t="str">
        <x:v>Systems</x:v>
      </x:c>
      <x:c r="B10" s="67" t="str">
        <x:v>Microsoft 365, GitHub, AWS, Customer Database, Support, Analytics, Payment Portal</x:v>
      </x:c>
      <x:c r="C10" s="62"/>
      <x:c r="D10" s="66" t="str">
        <x:v>Open findings</x:v>
      </x:c>
      <x:c r="E10" s="68" t="n">
        <x:f>COUNTIF('Findings'!$M$12:$M$19,"&lt;&gt;Closed")</x:f>
        <x:v>8</x:v>
      </x:c>
      <x:c r="F10" s="62"/>
      <x:c r="G10" s="62"/>
      <x:c r="H10" s="62"/>
      <x:c r="I10" s="62"/>
      <x:c r="J10" s="62"/>
    </x:row>
    <x:row r="11">
      <x:c r="A11" s="66" t="str">
        <x:v>Policy basis</x:v>
      </x:c>
      <x:c r="B11" s="67" t="str">
        <x:v>Trainory Access Control Policy Sections 5, 7, 8, and 11</x:v>
      </x:c>
      <x:c r="C11" s="62"/>
      <x:c r="D11" s="66" t="str">
        <x:v>High / Critical findings</x:v>
      </x:c>
      <x:c r="E11" s="68" t="n">
        <x:f>COUNTIF('Findings'!$H$12:$H$19,"High")+COUNTIF('Findings'!$H$12:$H$19,"Critical")</x:f>
        <x:v>8</x:v>
      </x:c>
      <x:c r="F11" s="62"/>
      <x:c r="G11" s="62"/>
      <x:c r="H11" s="62"/>
      <x:c r="I11" s="62"/>
      <x:c r="J11" s="62"/>
    </x:row>
    <x:row r="12">
      <x:c r="A12" s="66" t="str">
        <x:v>Framework examples</x:v>
      </x:c>
      <x:c r="B12" s="67" t="str">
        <x:v>NIST CSF 2.0 PR.AA-05; NIST SP 800-53 AC-2 and AC-6</x:v>
      </x:c>
      <x:c r="C12" s="62"/>
      <x:c r="D12" s="66" t="str">
        <x:v>Review completion</x:v>
      </x:c>
      <x:c r="E12" s="70" t="n">
        <x:f>COUNTIF('Access Review'!$R$12:$R$39,"&lt;&gt;Pending")/COUNTA('Access Review'!$A$12:$A$39)</x:f>
        <x:v>1</x:v>
      </x:c>
      <x:c r="F12" s="62"/>
      <x:c r="G12" s="62"/>
      <x:c r="H12" s="62"/>
      <x:c r="I12" s="62"/>
      <x:c r="J12" s="62"/>
    </x:row>
    <x:row r="13">
      <x:c r="A13" s="62"/>
      <x:c r="B13" s="62"/>
      <x:c r="C13" s="62"/>
      <x:c r="D13" s="62"/>
      <x:c r="E13" s="62"/>
      <x:c r="F13" s="62"/>
      <x:c r="G13" s="62"/>
      <x:c r="H13" s="62"/>
      <x:c r="I13" s="62"/>
      <x:c r="J13" s="62"/>
    </x:row>
    <x:row r="14" ht="34" customHeight="1">
      <x:c r="A14" s="71" t="str">
        <x:v>Decision</x:v>
      </x:c>
      <x:c r="B14" s="71" t="str">
        <x:v>Records</x:v>
      </x:c>
      <x:c r="C14" s="62"/>
      <x:c r="D14" s="62"/>
      <x:c r="E14" s="62"/>
      <x:c r="F14" s="62"/>
      <x:c r="G14" s="62"/>
      <x:c r="H14" s="62"/>
      <x:c r="I14" s="62"/>
      <x:c r="J14" s="62"/>
    </x:row>
    <x:row r="15">
      <x:c r="A15" s="67" t="str">
        <x:v>Retain</x:v>
      </x:c>
      <x:c r="B15" s="67" t="n">
        <x:f>COUNTIF('Access Review'!$R$12:$R$39,A15)</x:f>
        <x:v>17</x:v>
      </x:c>
      <x:c r="C15" s="62"/>
      <x:c r="D15" s="62"/>
      <x:c r="E15" s="62"/>
      <x:c r="F15" s="62"/>
      <x:c r="G15" s="62"/>
      <x:c r="H15" s="62"/>
      <x:c r="I15" s="62"/>
      <x:c r="J15" s="62"/>
    </x:row>
    <x:row r="16">
      <x:c r="A16" s="67" t="str">
        <x:v>Modify</x:v>
      </x:c>
      <x:c r="B16" s="67" t="n">
        <x:f>COUNTIF('Access Review'!$R$12:$R$39,A16)</x:f>
        <x:v>3</x:v>
      </x:c>
      <x:c r="C16" s="62"/>
      <x:c r="D16" s="62"/>
      <x:c r="E16" s="62"/>
      <x:c r="F16" s="62"/>
      <x:c r="G16" s="62"/>
      <x:c r="H16" s="62"/>
      <x:c r="I16" s="62"/>
      <x:c r="J16" s="62"/>
    </x:row>
    <x:row r="17">
      <x:c r="A17" s="67" t="str">
        <x:v>Remove</x:v>
      </x:c>
      <x:c r="B17" s="67" t="n">
        <x:f>COUNTIF('Access Review'!$R$12:$R$39,A17)</x:f>
        <x:v>5</x:v>
      </x:c>
      <x:c r="C17" s="62"/>
      <x:c r="D17" s="62"/>
      <x:c r="E17" s="62"/>
      <x:c r="F17" s="62"/>
      <x:c r="G17" s="62"/>
      <x:c r="H17" s="62"/>
      <x:c r="I17" s="62"/>
      <x:c r="J17" s="62"/>
    </x:row>
    <x:row r="18">
      <x:c r="A18" s="67" t="str">
        <x:v>Escalate</x:v>
      </x:c>
      <x:c r="B18" s="67" t="n">
        <x:f>COUNTIF('Access Review'!$R$12:$R$39,A18)</x:f>
        <x:v>3</x:v>
      </x:c>
      <x:c r="C18" s="62"/>
      <x:c r="D18" s="62"/>
      <x:c r="E18" s="62"/>
      <x:c r="F18" s="62"/>
      <x:c r="G18" s="62"/>
      <x:c r="H18" s="62"/>
      <x:c r="I18" s="62"/>
      <x:c r="J18" s="62"/>
    </x:row>
    <x:row r="19">
      <x:c r="A19" s="62"/>
      <x:c r="B19" s="62"/>
      <x:c r="C19" s="62"/>
      <x:c r="D19" s="62"/>
      <x:c r="E19" s="62"/>
      <x:c r="F19" s="62"/>
      <x:c r="G19" s="62"/>
      <x:c r="H19" s="62"/>
      <x:c r="I19" s="62"/>
      <x:c r="J19" s="62"/>
    </x:row>
    <x:row r="20" ht="34" customHeight="1">
      <x:c r="A20" s="71" t="str">
        <x:v>Priority finding</x:v>
      </x:c>
      <x:c r="B20" s="71" t="str">
        <x:v>Required response</x:v>
      </x:c>
      <x:c r="C20" s="62"/>
      <x:c r="D20" s="62"/>
      <x:c r="E20" s="62"/>
      <x:c r="F20" s="62"/>
      <x:c r="G20" s="62"/>
      <x:c r="H20" s="62"/>
      <x:c r="I20" s="62"/>
      <x:c r="J20" s="62"/>
    </x:row>
    <x:row r="21" ht="42" customHeight="1">
      <x:c r="A21" s="67" t="str">
        <x:v>Terminated contractor account remained enabled</x:v>
      </x:c>
      <x:c r="B21" s="67" t="str">
        <x:v>Disable immediately, revoke sessions, investigate activity, and preserve evidence.</x:v>
      </x:c>
      <x:c r="C21" s="62"/>
      <x:c r="D21" s="62"/>
      <x:c r="E21" s="62"/>
      <x:c r="F21" s="62"/>
      <x:c r="G21" s="62"/>
      <x:c r="H21" s="62"/>
      <x:c r="I21" s="62"/>
      <x:c r="J21" s="62"/>
    </x:row>
    <x:row r="22" ht="42" customHeight="1">
      <x:c r="A22" s="67" t="str">
        <x:v>Developer retained production administration and direct database access</x:v>
      </x:c>
      <x:c r="B22" s="67" t="str">
        <x:v>Remove direct database access and restrict production role to approved deployment duties.</x:v>
      </x:c>
      <x:c r="C22" s="62"/>
      <x:c r="D22" s="62"/>
      <x:c r="E22" s="62"/>
      <x:c r="F22" s="62"/>
      <x:c r="G22" s="62"/>
      <x:c r="H22" s="62"/>
      <x:c r="I22" s="62"/>
      <x:c r="J22" s="62"/>
    </x:row>
    <x:row r="23" ht="42" customHeight="1">
      <x:c r="A23" s="67" t="str">
        <x:v>Support role provided excessive customer-data capability</x:v>
      </x:c>
      <x:c r="B23" s="67" t="str">
        <x:v>Replace administrator access with least-privilege support role.</x:v>
      </x:c>
      <x:c r="C23" s="62"/>
      <x:c r="D23" s="62"/>
      <x:c r="E23" s="62"/>
      <x:c r="F23" s="62"/>
      <x:c r="G23" s="62"/>
      <x:c r="H23" s="62"/>
      <x:c r="I23" s="62"/>
      <x:c r="J23" s="62"/>
    </x:row>
    <x:row r="24" ht="42" customHeight="1">
      <x:c r="A24" s="67" t="str">
        <x:v>Service account did not have a documented owner</x:v>
      </x:c>
      <x:c r="B24" s="67" t="str">
        <x:v>Assign accountable owner, purpose, permissions, credential rotation, and review date.</x:v>
      </x:c>
      <x:c r="C24" s="62"/>
      <x:c r="D24" s="62"/>
      <x:c r="E24" s="62"/>
      <x:c r="F24" s="62"/>
      <x:c r="G24" s="62"/>
      <x:c r="H24" s="62"/>
      <x:c r="I24" s="62"/>
      <x:c r="J24" s="62"/>
    </x:row>
    <x:row r="25" ht="42" customHeight="1">
      <x:c r="A25" s="67" t="str">
        <x:v>Vendor access had no expiration date</x:v>
      </x:c>
      <x:c r="B25" s="67" t="str">
        <x:v>Add expiration, sponsor approval, and quarterly validation.</x:v>
      </x:c>
      <x:c r="C25" s="62"/>
      <x:c r="D25" s="62"/>
      <x:c r="E25" s="62"/>
      <x:c r="F25" s="62"/>
      <x:c r="G25" s="62"/>
      <x:c r="H25" s="62"/>
      <x:c r="I25" s="62"/>
      <x:c r="J25" s="62"/>
    </x:row>
    <x:row r="26">
      <x:c r="A26" s="62"/>
      <x:c r="B26" s="62"/>
      <x:c r="C26" s="62"/>
      <x:c r="D26" s="62"/>
      <x:c r="E26" s="62"/>
      <x:c r="F26" s="62"/>
      <x:c r="G26" s="62"/>
      <x:c r="H26" s="62"/>
      <x:c r="I26" s="62"/>
      <x:c r="J26" s="62"/>
    </x:row>
    <x:row r="27">
      <x:c r="A27" s="72" t="str">
        <x:v>Conclusion: The review identified eight access-control findings. Trainory should immediately disable the terminated contractor account, remove unnecessary production and customer-data permissions, assign ownership to the wearable API service account, and time-limit vendor access. Review evidence and remediation tickets must be retained to demonstrate that management decisions were completed, not merely documented.</x:v>
      </x:c>
      <x:c r="B27" s="73"/>
      <x:c r="C27" s="73"/>
      <x:c r="D27" s="73"/>
      <x:c r="E27" s="73"/>
      <x:c r="F27" s="73"/>
      <x:c r="G27" s="73"/>
      <x:c r="H27" s="73"/>
      <x:c r="I27" s="73"/>
      <x:c r="J27" s="74"/>
    </x:row>
    <x:row r="28">
      <x:c r="A28" s="75"/>
      <x:c r="B28" s="76"/>
      <x:c r="C28" s="76"/>
      <x:c r="D28" s="76"/>
      <x:c r="E28" s="76"/>
      <x:c r="F28" s="76"/>
      <x:c r="G28" s="76"/>
      <x:c r="H28" s="76"/>
      <x:c r="I28" s="76"/>
      <x:c r="J28" s="77"/>
    </x:row>
    <x:row r="29">
      <x:c r="A29" s="78"/>
      <x:c r="B29" s="79"/>
      <x:c r="C29" s="79"/>
      <x:c r="D29" s="79"/>
      <x:c r="E29" s="79"/>
      <x:c r="F29" s="79"/>
      <x:c r="G29" s="79"/>
      <x:c r="H29" s="79"/>
      <x:c r="I29" s="79"/>
      <x:c r="J29" s="80"/>
    </x:row>
    <x:row r="30">
      <x:c r="A30" s="62"/>
      <x:c r="B30" s="62"/>
      <x:c r="C30" s="62"/>
      <x:c r="D30" s="62"/>
      <x:c r="E30" s="62"/>
      <x:c r="F30" s="62"/>
      <x:c r="G30" s="62"/>
      <x:c r="H30" s="62"/>
      <x:c r="I30" s="62"/>
      <x:c r="J30" s="62"/>
    </x:row>
    <x:row r="31" ht="28" customHeight="1">
      <x:c r="A31" s="81" t="str">
        <x:v>Case study note: All people, access records, systems, evidence, findings, and approvals are fictional.</x:v>
      </x:c>
      <x:c r="B31" s="81" t="str">
        <x:v>Case study note: All people, access records, systems, evidence, findings, and approvals are fictional.</x:v>
      </x:c>
      <x:c r="C31" s="81" t="str">
        <x:v>Case study note: All people, access records, systems, evidence, findings, and approvals are fictional.</x:v>
      </x:c>
      <x:c r="D31" s="81"/>
      <x:c r="E31" s="81"/>
      <x:c r="F31" s="81"/>
      <x:c r="G31" s="81"/>
      <x:c r="H31" s="81"/>
      <x:c r="I31" s="81"/>
      <x:c r="J31" s="81"/>
    </x:row>
  </x:sheetData>
  <x:mergeCells>
    <x:mergeCell ref="A1:J1"/>
    <x:mergeCell ref="A2:J2"/>
    <x:mergeCell ref="A4:J4"/>
    <x:mergeCell ref="A27:J29"/>
    <x:mergeCell ref="A31:J31"/>
  </x:mergeCells>
  <x:pageMargins left="0.7" right="0.7" top="0.75" bottom="0.75" header="0.3" footer="0.3"/>
  <x:drawing xmlns:r="http://schemas.openxmlformats.org/officeDocument/2006/relationships" r:id="R38332fc19b634a0d"/>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7" hidden="0" customWidth="1"/>
    <x:col min="3" max="3" width="20" hidden="0" customWidth="1"/>
    <x:col min="4" max="4" width="18" hidden="0" customWidth="1"/>
    <x:col min="5" max="5" width="20" hidden="0" customWidth="1"/>
    <x:col min="6" max="6" width="22" hidden="0" customWidth="1"/>
    <x:col min="7" max="7" width="16" hidden="0" customWidth="1"/>
    <x:col min="8" max="8" width="22" hidden="0" customWidth="1"/>
    <x:col min="9" max="9" width="13" hidden="0" customWidth="1"/>
    <x:col min="10" max="10" width="22" hidden="0" customWidth="1"/>
    <x:col min="11" max="11" width="15" hidden="0" customWidth="1"/>
    <x:col min="12" max="12" width="16" hidden="0" customWidth="1"/>
    <x:col min="13" max="13" width="14" hidden="0" customWidth="1"/>
    <x:col min="14" max="14" width="10" hidden="0" customWidth="1"/>
    <x:col min="15" max="15" width="34" hidden="0" customWidth="1"/>
    <x:col min="16" max="16" width="14" hidden="0" customWidth="1"/>
    <x:col min="17" max="17" width="18" hidden="0" customWidth="1"/>
    <x:col min="18" max="18" width="18" hidden="0" customWidth="1"/>
    <x:col min="19" max="19" width="14" hidden="0" customWidth="1"/>
    <x:col min="20" max="20" width="13" hidden="0" customWidth="1"/>
    <x:col min="21" max="21" width="44" hidden="0" customWidth="1"/>
    <x:col min="22" max="22" width="22" hidden="0" customWidth="1"/>
    <x:col min="23" max="23" width="14" hidden="0" customWidth="1"/>
    <x:col min="24" max="24" width="18" hidden="0" customWidth="1"/>
  </x:cols>
  <x:sheetData>
    <x:row r="1" ht="34" customHeight="1">
      <x:c r="A1" s="60" t="str">
        <x:v>Trainory User Access Certification</x:v>
      </x:c>
      <x:c r="B1" s="60"/>
      <x:c r="C1" s="60"/>
      <x:c r="D1" s="60"/>
      <x:c r="E1" s="60"/>
      <x:c r="F1" s="60"/>
      <x:c r="G1" s="60"/>
      <x:c r="H1" s="60"/>
      <x:c r="I1" s="60"/>
      <x:c r="J1" s="60"/>
      <x:c r="K1" s="60"/>
      <x:c r="L1" s="60"/>
      <x:c r="M1" s="60"/>
      <x:c r="N1" s="60"/>
      <x:c r="O1" s="60"/>
      <x:c r="P1" s="60"/>
      <x:c r="Q1" s="60"/>
      <x:c r="R1" s="60"/>
      <x:c r="S1" s="60"/>
      <x:c r="T1" s="60"/>
      <x:c r="U1" s="60"/>
      <x:c r="V1" s="60"/>
      <x:c r="W1" s="60"/>
      <x:c r="X1" s="60"/>
    </x:row>
    <x:row r="2" ht="24" customHeight="1">
      <x:c r="A2" s="61" t="str">
        <x:v>Q4 2026 review population, management decisions, and remediation status</x:v>
      </x:c>
      <x:c r="B2" s="61"/>
      <x:c r="C2" s="61"/>
      <x:c r="D2" s="61"/>
      <x:c r="E2" s="61"/>
      <x:c r="F2" s="61"/>
      <x:c r="G2" s="61"/>
      <x:c r="H2" s="61"/>
      <x:c r="I2" s="61"/>
      <x:c r="J2" s="61"/>
      <x:c r="K2" s="61"/>
      <x:c r="L2" s="61"/>
      <x:c r="M2" s="61"/>
      <x:c r="N2" s="61"/>
      <x:c r="O2" s="61"/>
      <x:c r="P2" s="61"/>
      <x:c r="Q2" s="61"/>
      <x:c r="R2" s="61"/>
      <x:c r="S2" s="61"/>
      <x:c r="T2" s="61"/>
      <x:c r="U2" s="61"/>
      <x:c r="V2" s="61"/>
      <x:c r="W2" s="61"/>
      <x:c r="X2" s="61"/>
    </x:row>
    <x:row r="3">
      <x:c r="A3" s="62"/>
      <x:c r="B3" s="62"/>
      <x:c r="C3" s="62"/>
      <x:c r="D3" s="62"/>
      <x:c r="E3" s="62"/>
      <x:c r="F3" s="62"/>
      <x:c r="G3" s="62"/>
      <x:c r="H3" s="62"/>
      <x:c r="I3" s="62"/>
      <x:c r="J3" s="62"/>
      <x:c r="K3" s="62"/>
      <x:c r="L3" s="62"/>
      <x:c r="M3" s="62"/>
      <x:c r="N3" s="62"/>
      <x:c r="O3" s="62"/>
      <x:c r="P3" s="62"/>
      <x:c r="Q3" s="62"/>
      <x:c r="R3" s="62"/>
      <x:c r="S3" s="62"/>
      <x:c r="T3" s="62"/>
      <x:c r="U3" s="62"/>
      <x:c r="V3" s="62"/>
      <x:c r="W3" s="62"/>
      <x:c r="X3" s="62"/>
    </x:row>
    <x:row r="4" ht="23" customHeight="1">
      <x:c r="A4" s="63" t="str">
        <x:v>Reviewer instructions</x:v>
      </x:c>
      <x:c r="B4" s="64"/>
      <x:c r="C4" s="64"/>
      <x:c r="D4" s="64"/>
      <x:c r="E4" s="64"/>
      <x:c r="F4" s="64"/>
      <x:c r="G4" s="64"/>
      <x:c r="H4" s="64"/>
      <x:c r="I4" s="64"/>
      <x:c r="J4" s="64"/>
      <x:c r="K4" s="64"/>
      <x:c r="L4" s="64"/>
      <x:c r="M4" s="64"/>
      <x:c r="N4" s="64"/>
      <x:c r="O4" s="64"/>
      <x:c r="P4" s="64"/>
      <x:c r="Q4" s="64"/>
      <x:c r="R4" s="64"/>
      <x:c r="S4" s="64"/>
      <x:c r="T4" s="64"/>
      <x:c r="U4" s="64"/>
      <x:c r="V4" s="64"/>
      <x:c r="W4" s="64"/>
      <x:c r="X4" s="65"/>
    </x:row>
    <x:row r="5">
      <x:c r="A5" s="109" t="str">
        <x:v>For each user-system record, confirm active employment or sponsorship, continuing business need, least privilege, appropriate data access, MFA, evidence, and approval. Select Retain, Modify, Remove, or Escalate. Any decision other than Retain automatically becomes an exception requiring an action, owner, due date, and closure evidence.</x:v>
      </x:c>
      <x:c r="B5" s="110"/>
      <x:c r="C5" s="110"/>
      <x:c r="D5" s="110"/>
      <x:c r="E5" s="110"/>
      <x:c r="F5" s="110"/>
      <x:c r="G5" s="110"/>
      <x:c r="H5" s="110"/>
      <x:c r="I5" s="110"/>
      <x:c r="J5" s="110"/>
      <x:c r="K5" s="110"/>
      <x:c r="L5" s="110"/>
      <x:c r="M5" s="110"/>
      <x:c r="N5" s="110"/>
      <x:c r="O5" s="110"/>
      <x:c r="P5" s="110"/>
      <x:c r="Q5" s="110"/>
      <x:c r="R5" s="110"/>
      <x:c r="S5" s="110"/>
      <x:c r="T5" s="110"/>
      <x:c r="U5" s="110"/>
      <x:c r="V5" s="110"/>
      <x:c r="W5" s="110"/>
      <x:c r="X5" s="111"/>
    </x:row>
    <x:row r="6">
      <x:c r="A6" s="112"/>
      <x:c r="B6" s="113"/>
      <x:c r="C6" s="113"/>
      <x:c r="D6" s="113"/>
      <x:c r="E6" s="113"/>
      <x:c r="F6" s="113"/>
      <x:c r="G6" s="113"/>
      <x:c r="H6" s="113"/>
      <x:c r="I6" s="113"/>
      <x:c r="J6" s="113"/>
      <x:c r="K6" s="113"/>
      <x:c r="L6" s="113"/>
      <x:c r="M6" s="113"/>
      <x:c r="N6" s="113"/>
      <x:c r="O6" s="113"/>
      <x:c r="P6" s="113"/>
      <x:c r="Q6" s="113"/>
      <x:c r="R6" s="113"/>
      <x:c r="S6" s="113"/>
      <x:c r="T6" s="113"/>
      <x:c r="U6" s="113"/>
      <x:c r="V6" s="113"/>
      <x:c r="W6" s="113"/>
      <x:c r="X6" s="114"/>
    </x:row>
    <x:row r="7">
      <x:c r="A7" s="112"/>
      <x:c r="B7" s="113"/>
      <x:c r="C7" s="113"/>
      <x:c r="D7" s="113"/>
      <x:c r="E7" s="113"/>
      <x:c r="F7" s="113"/>
      <x:c r="G7" s="113"/>
      <x:c r="H7" s="113"/>
      <x:c r="I7" s="113"/>
      <x:c r="J7" s="113"/>
      <x:c r="K7" s="113"/>
      <x:c r="L7" s="113"/>
      <x:c r="M7" s="113"/>
      <x:c r="N7" s="113"/>
      <x:c r="O7" s="113"/>
      <x:c r="P7" s="113"/>
      <x:c r="Q7" s="113"/>
      <x:c r="R7" s="113"/>
      <x:c r="S7" s="113"/>
      <x:c r="T7" s="113"/>
      <x:c r="U7" s="113"/>
      <x:c r="V7" s="113"/>
      <x:c r="W7" s="113"/>
      <x:c r="X7" s="114"/>
    </x:row>
    <x:row r="8">
      <x:c r="A8" s="115"/>
      <x:c r="B8" s="116"/>
      <x:c r="C8" s="116"/>
      <x:c r="D8" s="116"/>
      <x:c r="E8" s="116"/>
      <x:c r="F8" s="116"/>
      <x:c r="G8" s="116"/>
      <x:c r="H8" s="116"/>
      <x:c r="I8" s="116"/>
      <x:c r="J8" s="116"/>
      <x:c r="K8" s="116"/>
      <x:c r="L8" s="116"/>
      <x:c r="M8" s="116"/>
      <x:c r="N8" s="116"/>
      <x:c r="O8" s="116"/>
      <x:c r="P8" s="116"/>
      <x:c r="Q8" s="116"/>
      <x:c r="R8" s="116"/>
      <x:c r="S8" s="116"/>
      <x:c r="T8" s="116"/>
      <x:c r="U8" s="116"/>
      <x:c r="V8" s="116"/>
      <x:c r="W8" s="116"/>
      <x:c r="X8" s="117"/>
    </x:row>
    <x:row r="9">
      <x:c r="A9" s="62"/>
      <x:c r="B9" s="62"/>
      <x:c r="C9" s="62"/>
      <x:c r="D9" s="62"/>
      <x:c r="E9" s="62"/>
      <x:c r="F9" s="62"/>
      <x:c r="G9" s="62"/>
      <x:c r="H9" s="62"/>
      <x:c r="I9" s="62"/>
      <x:c r="J9" s="62"/>
      <x:c r="K9" s="62"/>
      <x:c r="L9" s="62"/>
      <x:c r="M9" s="62"/>
      <x:c r="N9" s="62"/>
      <x:c r="O9" s="62"/>
      <x:c r="P9" s="62"/>
      <x:c r="Q9" s="62"/>
      <x:c r="R9" s="62"/>
      <x:c r="S9" s="62"/>
      <x:c r="T9" s="62"/>
      <x:c r="U9" s="62"/>
      <x:c r="V9" s="62"/>
      <x:c r="W9" s="62"/>
      <x:c r="X9" s="62"/>
    </x:row>
    <x:row r="10" ht="23" customHeight="1">
      <x:c r="A10" s="63" t="str">
        <x:v>Access records</x:v>
      </x:c>
      <x:c r="B10" s="64"/>
      <x:c r="C10" s="64"/>
      <x:c r="D10" s="64"/>
      <x:c r="E10" s="64"/>
      <x:c r="F10" s="64"/>
      <x:c r="G10" s="64"/>
      <x:c r="H10" s="64"/>
      <x:c r="I10" s="64"/>
      <x:c r="J10" s="64"/>
      <x:c r="K10" s="64"/>
      <x:c r="L10" s="64"/>
      <x:c r="M10" s="64"/>
      <x:c r="N10" s="64"/>
      <x:c r="O10" s="64"/>
      <x:c r="P10" s="64"/>
      <x:c r="Q10" s="64"/>
      <x:c r="R10" s="64"/>
      <x:c r="S10" s="64"/>
      <x:c r="T10" s="64"/>
      <x:c r="U10" s="64"/>
      <x:c r="V10" s="64"/>
      <x:c r="W10" s="64"/>
      <x:c r="X10" s="65"/>
    </x:row>
    <x:row r="11" ht="34" customHeight="1">
      <x:c r="A11" s="71" t="str">
        <x:v>Record ID</x:v>
      </x:c>
      <x:c r="B11" s="71" t="str">
        <x:v>User / Account ID</x:v>
      </x:c>
      <x:c r="C11" s="71" t="str">
        <x:v>Name / Account</x:v>
      </x:c>
      <x:c r="D11" s="71" t="str">
        <x:v>Account type</x:v>
      </x:c>
      <x:c r="E11" s="71" t="str">
        <x:v>Department</x:v>
      </x:c>
      <x:c r="F11" s="71" t="str">
        <x:v>Manager / Sponsor</x:v>
      </x:c>
      <x:c r="G11" s="71" t="str">
        <x:v>Employment status</x:v>
      </x:c>
      <x:c r="H11" s="71" t="str">
        <x:v>System</x:v>
      </x:c>
      <x:c r="I11" s="71" t="str">
        <x:v>Asset ID</x:v>
      </x:c>
      <x:c r="J11" s="71" t="str">
        <x:v>Assigned role</x:v>
      </x:c>
      <x:c r="K11" s="71" t="str">
        <x:v>Privilege level</x:v>
      </x:c>
      <x:c r="L11" s="71" t="str">
        <x:v>Data access</x:v>
      </x:c>
      <x:c r="M11" s="71" t="str">
        <x:v>Last login</x:v>
      </x:c>
      <x:c r="N11" s="71" t="str">
        <x:v>MFA</x:v>
      </x:c>
      <x:c r="O11" s="71" t="str">
        <x:v>Business justification</x:v>
      </x:c>
      <x:c r="P11" s="71" t="str">
        <x:v>Current need?</x:v>
      </x:c>
      <x:c r="Q11" s="71" t="str">
        <x:v>Manager attestation</x:v>
      </x:c>
      <x:c r="R11" s="71" t="str">
        <x:v>Reviewer decision</x:v>
      </x:c>
      <x:c r="S11" s="71" t="str">
        <x:v>Exception flag</x:v>
      </x:c>
      <x:c r="T11" s="71" t="str">
        <x:v>Evidence ID</x:v>
      </x:c>
      <x:c r="U11" s="71" t="str">
        <x:v>Required action</x:v>
      </x:c>
      <x:c r="V11" s="71" t="str">
        <x:v>Action owner</x:v>
      </x:c>
      <x:c r="W11" s="71" t="str">
        <x:v>Due date</x:v>
      </x:c>
      <x:c r="X11" s="71" t="str">
        <x:v>Remediation status</x:v>
      </x:c>
    </x:row>
    <x:row r="12" ht="68" customHeight="1">
      <x:c r="A12" s="67" t="str">
        <x:v>AR-001</x:v>
      </x:c>
      <x:c r="B12" s="67" t="str">
        <x:v>TRN-U001</x:v>
      </x:c>
      <x:c r="C12" s="67" t="str">
        <x:v>Maya Chen</x:v>
      </x:c>
      <x:c r="D12" s="67" t="str">
        <x:v>Employee</x:v>
      </x:c>
      <x:c r="E12" s="67" t="str">
        <x:v>Product</x:v>
      </x:c>
      <x:c r="F12" s="67" t="str">
        <x:v>Elena Ross</x:v>
      </x:c>
      <x:c r="G12" s="67" t="str">
        <x:v>Active</x:v>
      </x:c>
      <x:c r="H12" s="67" t="str">
        <x:v>Microsoft 365</x:v>
      </x:c>
      <x:c r="I12" s="67" t="str">
        <x:v>TRN-A007</x:v>
      </x:c>
      <x:c r="J12" s="67" t="str">
        <x:v>Standard User</x:v>
      </x:c>
      <x:c r="K12" s="67" t="str">
        <x:v>Standard</x:v>
      </x:c>
      <x:c r="L12" s="67" t="str">
        <x:v>Internal</x:v>
      </x:c>
      <x:c r="M12" s="69" t="n">
        <x:v>46295</x:v>
      </x:c>
      <x:c r="N12" s="67" t="str">
        <x:v>Yes</x:v>
      </x:c>
      <x:c r="O12" s="67" t="str">
        <x:v>Email, collaboration, and product documentation</x:v>
      </x:c>
      <x:c r="P12" s="67" t="str">
        <x:v>Yes</x:v>
      </x:c>
      <x:c r="Q12" s="67" t="str">
        <x:v>Approved</x:v>
      </x:c>
      <x:c r="R12" s="67" t="str">
        <x:v>Retain</x:v>
      </x:c>
      <x:c r="S12" s="67" t="str">
        <x:f>IF(R12="Retain","No",IF(R12="Pending","Pending","Yes"))</x:f>
        <x:v>No</x:v>
      </x:c>
      <x:c r="T12" s="67" t="str">
        <x:v>EVD-03</x:v>
      </x:c>
      <x:c r="U12" s="67" t="str">
        <x:v>None</x:v>
      </x:c>
      <x:c r="V12" s="67" t="str">
        <x:v>Product Management</x:v>
      </x:c>
      <x:c r="W12" s="69"/>
      <x:c r="X12" s="67" t="str">
        <x:v>Not Required</x:v>
      </x:c>
    </x:row>
    <x:row r="13" ht="68" customHeight="1">
      <x:c r="A13" s="67" t="str">
        <x:v>AR-002</x:v>
      </x:c>
      <x:c r="B13" s="67" t="str">
        <x:v>TRN-U001</x:v>
      </x:c>
      <x:c r="C13" s="67" t="str">
        <x:v>Maya Chen</x:v>
      </x:c>
      <x:c r="D13" s="67" t="str">
        <x:v>Employee</x:v>
      </x:c>
      <x:c r="E13" s="67" t="str">
        <x:v>Product</x:v>
      </x:c>
      <x:c r="F13" s="67" t="str">
        <x:v>Elena Ross</x:v>
      </x:c>
      <x:c r="G13" s="67" t="str">
        <x:v>Active</x:v>
      </x:c>
      <x:c r="H13" s="67" t="str">
        <x:v>Jira / Product Workspace</x:v>
      </x:c>
      <x:c r="I13" s="67" t="str">
        <x:v>TRN-A012</x:v>
      </x:c>
      <x:c r="J13" s="67" t="str">
        <x:v>Project Administrator</x:v>
      </x:c>
      <x:c r="K13" s="67" t="str">
        <x:v>Elevated</x:v>
      </x:c>
      <x:c r="L13" s="67" t="str">
        <x:v>Internal</x:v>
      </x:c>
      <x:c r="M13" s="69" t="n">
        <x:v>46294</x:v>
      </x:c>
      <x:c r="N13" s="67" t="str">
        <x:v>Yes</x:v>
      </x:c>
      <x:c r="O13" s="67" t="str">
        <x:v>Owns product backlog and workflows</x:v>
      </x:c>
      <x:c r="P13" s="67" t="str">
        <x:v>Yes</x:v>
      </x:c>
      <x:c r="Q13" s="67" t="str">
        <x:v>Approved</x:v>
      </x:c>
      <x:c r="R13" s="67" t="str">
        <x:v>Retain</x:v>
      </x:c>
      <x:c r="S13" s="67" t="str">
        <x:f>IF(R13="Retain","No",IF(R13="Pending","Pending","Yes"))</x:f>
        <x:v>No</x:v>
      </x:c>
      <x:c r="T13" s="67" t="str">
        <x:v>EVD-03</x:v>
      </x:c>
      <x:c r="U13" s="67" t="str">
        <x:v>None</x:v>
      </x:c>
      <x:c r="V13" s="67" t="str">
        <x:v>Product Management</x:v>
      </x:c>
      <x:c r="W13" s="69"/>
      <x:c r="X13" s="67" t="str">
        <x:v>Not Required</x:v>
      </x:c>
    </x:row>
    <x:row r="14" ht="68" customHeight="1">
      <x:c r="A14" s="67" t="str">
        <x:v>AR-003</x:v>
      </x:c>
      <x:c r="B14" s="67" t="str">
        <x:v>TRN-U002</x:v>
      </x:c>
      <x:c r="C14" s="67" t="str">
        <x:v>Liam Brooks</x:v>
      </x:c>
      <x:c r="D14" s="67" t="str">
        <x:v>Employee</x:v>
      </x:c>
      <x:c r="E14" s="67" t="str">
        <x:v>Software Development</x:v>
      </x:c>
      <x:c r="F14" s="67" t="str">
        <x:v>Nina Shah</x:v>
      </x:c>
      <x:c r="G14" s="67" t="str">
        <x:v>Active</x:v>
      </x:c>
      <x:c r="H14" s="67" t="str">
        <x:v>GitHub</x:v>
      </x:c>
      <x:c r="I14" s="67" t="str">
        <x:v>TRN-A005</x:v>
      </x:c>
      <x:c r="J14" s="67" t="str">
        <x:v>Developer Write</x:v>
      </x:c>
      <x:c r="K14" s="67" t="str">
        <x:v>Elevated</x:v>
      </x:c>
      <x:c r="L14" s="67" t="str">
        <x:v>Confidential</x:v>
      </x:c>
      <x:c r="M14" s="69" t="n">
        <x:v>46295</x:v>
      </x:c>
      <x:c r="N14" s="67" t="str">
        <x:v>Yes</x:v>
      </x:c>
      <x:c r="O14" s="67" t="str">
        <x:v>Develop and review Trainory application code</x:v>
      </x:c>
      <x:c r="P14" s="67" t="str">
        <x:v>Yes</x:v>
      </x:c>
      <x:c r="Q14" s="67" t="str">
        <x:v>Approved</x:v>
      </x:c>
      <x:c r="R14" s="67" t="str">
        <x:v>Retain</x:v>
      </x:c>
      <x:c r="S14" s="67" t="str">
        <x:f>IF(R14="Retain","No",IF(R14="Pending","Pending","Yes"))</x:f>
        <x:v>No</x:v>
      </x:c>
      <x:c r="T14" s="67" t="str">
        <x:v>EVD-04</x:v>
      </x:c>
      <x:c r="U14" s="67" t="str">
        <x:v>None</x:v>
      </x:c>
      <x:c r="V14" s="67" t="str">
        <x:v>Software Development</x:v>
      </x:c>
      <x:c r="W14" s="69"/>
      <x:c r="X14" s="67" t="str">
        <x:v>Not Required</x:v>
      </x:c>
    </x:row>
    <x:row r="15" ht="68" customHeight="1">
      <x:c r="A15" s="67" t="str">
        <x:v>AR-004</x:v>
      </x:c>
      <x:c r="B15" s="67" t="str">
        <x:v>TRN-U002</x:v>
      </x:c>
      <x:c r="C15" s="67" t="str">
        <x:v>Liam Brooks</x:v>
      </x:c>
      <x:c r="D15" s="67" t="str">
        <x:v>Employee</x:v>
      </x:c>
      <x:c r="E15" s="67" t="str">
        <x:v>Software Development</x:v>
      </x:c>
      <x:c r="F15" s="67" t="str">
        <x:v>Nina Shah</x:v>
      </x:c>
      <x:c r="G15" s="67" t="str">
        <x:v>Active</x:v>
      </x:c>
      <x:c r="H15" s="67" t="str">
        <x:v>AWS Production</x:v>
      </x:c>
      <x:c r="I15" s="67" t="str">
        <x:v>TRN-A003</x:v>
      </x:c>
      <x:c r="J15" s="67" t="str">
        <x:v>Administrator</x:v>
      </x:c>
      <x:c r="K15" s="67" t="str">
        <x:v>Privileged</x:v>
      </x:c>
      <x:c r="L15" s="67" t="str">
        <x:v>Restricted</x:v>
      </x:c>
      <x:c r="M15" s="69" t="n">
        <x:v>46295</x:v>
      </x:c>
      <x:c r="N15" s="67" t="str">
        <x:v>Yes</x:v>
      </x:c>
      <x:c r="O15" s="67" t="str">
        <x:v>Previously supported initial deployment</x:v>
      </x:c>
      <x:c r="P15" s="67" t="str">
        <x:v>Partial</x:v>
      </x:c>
      <x:c r="Q15" s="67" t="str">
        <x:v>Modify</x:v>
      </x:c>
      <x:c r="R15" s="67" t="str">
        <x:v>Modify</x:v>
      </x:c>
      <x:c r="S15" s="67" t="str">
        <x:f>IF(R15="Retain","No",IF(R15="Pending","Pending","Yes"))</x:f>
        <x:v>Yes</x:v>
      </x:c>
      <x:c r="T15" s="67" t="str">
        <x:v>EVD-05</x:v>
      </x:c>
      <x:c r="U15" s="67" t="str">
        <x:v>Replace Administrator with deployment role; remove interactive administration.</x:v>
      </x:c>
      <x:c r="V15" s="67" t="str">
        <x:v>Cloud Engineering</x:v>
      </x:c>
      <x:c r="W15" s="69" t="n">
        <x:v>46303</x:v>
      </x:c>
      <x:c r="X15" s="67" t="str">
        <x:v>Open</x:v>
      </x:c>
    </x:row>
    <x:row r="16" ht="68" customHeight="1">
      <x:c r="A16" s="67" t="str">
        <x:v>AR-005</x:v>
      </x:c>
      <x:c r="B16" s="67" t="str">
        <x:v>TRN-U002</x:v>
      </x:c>
      <x:c r="C16" s="67" t="str">
        <x:v>Liam Brooks</x:v>
      </x:c>
      <x:c r="D16" s="67" t="str">
        <x:v>Employee</x:v>
      </x:c>
      <x:c r="E16" s="67" t="str">
        <x:v>Software Development</x:v>
      </x:c>
      <x:c r="F16" s="67" t="str">
        <x:v>Nina Shah</x:v>
      </x:c>
      <x:c r="G16" s="67" t="str">
        <x:v>Active</x:v>
      </x:c>
      <x:c r="H16" s="67" t="str">
        <x:v>Customer Database</x:v>
      </x:c>
      <x:c r="I16" s="67" t="str">
        <x:v>TRN-A002</x:v>
      </x:c>
      <x:c r="J16" s="67" t="str">
        <x:v>Direct Read</x:v>
      </x:c>
      <x:c r="K16" s="67" t="str">
        <x:v>Elevated</x:v>
      </x:c>
      <x:c r="L16" s="67" t="str">
        <x:v>Restricted</x:v>
      </x:c>
      <x:c r="M16" s="69" t="n">
        <x:v>46293</x:v>
      </x:c>
      <x:c r="N16" s="67" t="str">
        <x:v>Yes</x:v>
      </x:c>
      <x:c r="O16" s="67" t="str">
        <x:v>Legacy troubleshooting</x:v>
      </x:c>
      <x:c r="P16" s="67" t="str">
        <x:v>No</x:v>
      </x:c>
      <x:c r="Q16" s="67" t="str">
        <x:v>Remove</x:v>
      </x:c>
      <x:c r="R16" s="67" t="str">
        <x:v>Remove</x:v>
      </x:c>
      <x:c r="S16" s="67" t="str">
        <x:f>IF(R16="Retain","No",IF(R16="Pending","Pending","Yes"))</x:f>
        <x:v>Yes</x:v>
      </x:c>
      <x:c r="T16" s="67" t="str">
        <x:v>EVD-06</x:v>
      </x:c>
      <x:c r="U16" s="67" t="str">
        <x:v>Remove direct database access and use approved support tooling.</x:v>
      </x:c>
      <x:c r="V16" s="67" t="str">
        <x:v>Database Owner</x:v>
      </x:c>
      <x:c r="W16" s="69" t="n">
        <x:v>46298</x:v>
      </x:c>
      <x:c r="X16" s="67" t="str">
        <x:v>Open</x:v>
      </x:c>
    </x:row>
    <x:row r="17" ht="68" customHeight="1">
      <x:c r="A17" s="67" t="str">
        <x:v>AR-006</x:v>
      </x:c>
      <x:c r="B17" s="67" t="str">
        <x:v>TRN-U003</x:v>
      </x:c>
      <x:c r="C17" s="67" t="str">
        <x:v>Aisha Patel</x:v>
      </x:c>
      <x:c r="D17" s="67" t="str">
        <x:v>Employee</x:v>
      </x:c>
      <x:c r="E17" s="67" t="str">
        <x:v>Cybersecurity</x:v>
      </x:c>
      <x:c r="F17" s="67" t="str">
        <x:v>Caleb Jones</x:v>
      </x:c>
      <x:c r="G17" s="67" t="str">
        <x:v>Active</x:v>
      </x:c>
      <x:c r="H17" s="67" t="str">
        <x:v>Microsoft 365</x:v>
      </x:c>
      <x:c r="I17" s="67" t="str">
        <x:v>TRN-A007</x:v>
      </x:c>
      <x:c r="J17" s="67" t="str">
        <x:v>Standard User</x:v>
      </x:c>
      <x:c r="K17" s="67" t="str">
        <x:v>Standard</x:v>
      </x:c>
      <x:c r="L17" s="67" t="str">
        <x:v>Internal</x:v>
      </x:c>
      <x:c r="M17" s="69" t="n">
        <x:v>46295</x:v>
      </x:c>
      <x:c r="N17" s="67" t="str">
        <x:v>Yes</x:v>
      </x:c>
      <x:c r="O17" s="67" t="str">
        <x:v>Email and collaboration</x:v>
      </x:c>
      <x:c r="P17" s="67" t="str">
        <x:v>Yes</x:v>
      </x:c>
      <x:c r="Q17" s="67" t="str">
        <x:v>Approved</x:v>
      </x:c>
      <x:c r="R17" s="67" t="str">
        <x:v>Retain</x:v>
      </x:c>
      <x:c r="S17" s="67" t="str">
        <x:f>IF(R17="Retain","No",IF(R17="Pending","Pending","Yes"))</x:f>
        <x:v>No</x:v>
      </x:c>
      <x:c r="T17" s="67" t="str">
        <x:v>EVD-03</x:v>
      </x:c>
      <x:c r="U17" s="67" t="str">
        <x:v>None</x:v>
      </x:c>
      <x:c r="V17" s="67" t="str">
        <x:v>Cybersecurity / IT</x:v>
      </x:c>
      <x:c r="W17" s="69"/>
      <x:c r="X17" s="67" t="str">
        <x:v>Not Required</x:v>
      </x:c>
    </x:row>
    <x:row r="18" ht="68" customHeight="1">
      <x:c r="A18" s="67" t="str">
        <x:v>AR-007</x:v>
      </x:c>
      <x:c r="B18" s="67" t="str">
        <x:v>TRN-U003</x:v>
      </x:c>
      <x:c r="C18" s="67" t="str">
        <x:v>Aisha Patel</x:v>
      </x:c>
      <x:c r="D18" s="67" t="str">
        <x:v>Employee</x:v>
      </x:c>
      <x:c r="E18" s="67" t="str">
        <x:v>Cybersecurity</x:v>
      </x:c>
      <x:c r="F18" s="67" t="str">
        <x:v>Caleb Jones</x:v>
      </x:c>
      <x:c r="G18" s="67" t="str">
        <x:v>Active</x:v>
      </x:c>
      <x:c r="H18" s="67" t="str">
        <x:v>Security Monitoring</x:v>
      </x:c>
      <x:c r="I18" s="67" t="str">
        <x:v>TRN-A011</x:v>
      </x:c>
      <x:c r="J18" s="67" t="str">
        <x:v>Security Administrator</x:v>
      </x:c>
      <x:c r="K18" s="67" t="str">
        <x:v>Privileged</x:v>
      </x:c>
      <x:c r="L18" s="67" t="str">
        <x:v>Confidential</x:v>
      </x:c>
      <x:c r="M18" s="69" t="n">
        <x:v>46295</x:v>
      </x:c>
      <x:c r="N18" s="67" t="str">
        <x:v>Yes</x:v>
      </x:c>
      <x:c r="O18" s="67" t="str">
        <x:v>Investigate alerts and administer monitoring</x:v>
      </x:c>
      <x:c r="P18" s="67" t="str">
        <x:v>Yes</x:v>
      </x:c>
      <x:c r="Q18" s="67" t="str">
        <x:v>Approved</x:v>
      </x:c>
      <x:c r="R18" s="67" t="str">
        <x:v>Retain</x:v>
      </x:c>
      <x:c r="S18" s="67" t="str">
        <x:f>IF(R18="Retain","No",IF(R18="Pending","Pending","Yes"))</x:f>
        <x:v>No</x:v>
      </x:c>
      <x:c r="T18" s="67" t="str">
        <x:v>EVD-07</x:v>
      </x:c>
      <x:c r="U18" s="67" t="str">
        <x:v>None</x:v>
      </x:c>
      <x:c r="V18" s="67" t="str">
        <x:v>Cybersecurity / IT</x:v>
      </x:c>
      <x:c r="W18" s="69"/>
      <x:c r="X18" s="67" t="str">
        <x:v>Not Required</x:v>
      </x:c>
    </x:row>
    <x:row r="19" ht="68" customHeight="1">
      <x:c r="A19" s="67" t="str">
        <x:v>AR-008</x:v>
      </x:c>
      <x:c r="B19" s="67" t="str">
        <x:v>TRN-U003</x:v>
      </x:c>
      <x:c r="C19" s="67" t="str">
        <x:v>Aisha Patel</x:v>
      </x:c>
      <x:c r="D19" s="67" t="str">
        <x:v>Employee</x:v>
      </x:c>
      <x:c r="E19" s="67" t="str">
        <x:v>Cybersecurity</x:v>
      </x:c>
      <x:c r="F19" s="67" t="str">
        <x:v>Caleb Jones</x:v>
      </x:c>
      <x:c r="G19" s="67" t="str">
        <x:v>Active</x:v>
      </x:c>
      <x:c r="H19" s="67" t="str">
        <x:v>AWS Production</x:v>
      </x:c>
      <x:c r="I19" s="67" t="str">
        <x:v>TRN-A003</x:v>
      </x:c>
      <x:c r="J19" s="67" t="str">
        <x:v>Security Audit</x:v>
      </x:c>
      <x:c r="K19" s="67" t="str">
        <x:v>Elevated</x:v>
      </x:c>
      <x:c r="L19" s="67" t="str">
        <x:v>Restricted</x:v>
      </x:c>
      <x:c r="M19" s="69" t="n">
        <x:v>46292</x:v>
      </x:c>
      <x:c r="N19" s="67" t="str">
        <x:v>Yes</x:v>
      </x:c>
      <x:c r="O19" s="67" t="str">
        <x:v>Read-only security review</x:v>
      </x:c>
      <x:c r="P19" s="67" t="str">
        <x:v>Yes</x:v>
      </x:c>
      <x:c r="Q19" s="67" t="str">
        <x:v>Approved</x:v>
      </x:c>
      <x:c r="R19" s="67" t="str">
        <x:v>Retain</x:v>
      </x:c>
      <x:c r="S19" s="67" t="str">
        <x:f>IF(R19="Retain","No",IF(R19="Pending","Pending","Yes"))</x:f>
        <x:v>No</x:v>
      </x:c>
      <x:c r="T19" s="67" t="str">
        <x:v>EVD-05</x:v>
      </x:c>
      <x:c r="U19" s="67" t="str">
        <x:v>None</x:v>
      </x:c>
      <x:c r="V19" s="67" t="str">
        <x:v>Cybersecurity / IT</x:v>
      </x:c>
      <x:c r="W19" s="69"/>
      <x:c r="X19" s="67" t="str">
        <x:v>Not Required</x:v>
      </x:c>
    </x:row>
    <x:row r="20" ht="68" customHeight="1">
      <x:c r="A20" s="67" t="str">
        <x:v>AR-009</x:v>
      </x:c>
      <x:c r="B20" s="67" t="str">
        <x:v>TRN-U004</x:v>
      </x:c>
      <x:c r="C20" s="67" t="str">
        <x:v>Noah Williams</x:v>
      </x:c>
      <x:c r="D20" s="67" t="str">
        <x:v>Employee</x:v>
      </x:c>
      <x:c r="E20" s="67" t="str">
        <x:v>Customer Support</x:v>
      </x:c>
      <x:c r="F20" s="67" t="str">
        <x:v>Dana Lee</x:v>
      </x:c>
      <x:c r="G20" s="67" t="str">
        <x:v>Active</x:v>
      </x:c>
      <x:c r="H20" s="67" t="str">
        <x:v>Support Platform</x:v>
      </x:c>
      <x:c r="I20" s="67" t="str">
        <x:v>TRN-A009</x:v>
      </x:c>
      <x:c r="J20" s="67" t="str">
        <x:v>Administrator</x:v>
      </x:c>
      <x:c r="K20" s="67" t="str">
        <x:v>Privileged</x:v>
      </x:c>
      <x:c r="L20" s="67" t="str">
        <x:v>Restricted</x:v>
      </x:c>
      <x:c r="M20" s="69" t="n">
        <x:v>46295</x:v>
      </x:c>
      <x:c r="N20" s="67" t="str">
        <x:v>Yes</x:v>
      </x:c>
      <x:c r="O20" s="67" t="str">
        <x:v>Role assigned during tool rollout</x:v>
      </x:c>
      <x:c r="P20" s="67" t="str">
        <x:v>Partial</x:v>
      </x:c>
      <x:c r="Q20" s="67" t="str">
        <x:v>Modify</x:v>
      </x:c>
      <x:c r="R20" s="67" t="str">
        <x:v>Modify</x:v>
      </x:c>
      <x:c r="S20" s="67" t="str">
        <x:f>IF(R20="Retain","No",IF(R20="Pending","Pending","Yes"))</x:f>
        <x:v>Yes</x:v>
      </x:c>
      <x:c r="T20" s="67" t="str">
        <x:v>EVD-08</x:v>
      </x:c>
      <x:c r="U20" s="67" t="str">
        <x:v>Replace administrator with support-agent role; retain audited customer lookup.</x:v>
      </x:c>
      <x:c r="V20" s="67" t="str">
        <x:v>Support System Owner</x:v>
      </x:c>
      <x:c r="W20" s="69" t="n">
        <x:v>46300</x:v>
      </x:c>
      <x:c r="X20" s="67" t="str">
        <x:v>In Progress</x:v>
      </x:c>
    </x:row>
    <x:row r="21" ht="68" customHeight="1">
      <x:c r="A21" s="67" t="str">
        <x:v>AR-010</x:v>
      </x:c>
      <x:c r="B21" s="67" t="str">
        <x:v>TRN-U004</x:v>
      </x:c>
      <x:c r="C21" s="67" t="str">
        <x:v>Noah Williams</x:v>
      </x:c>
      <x:c r="D21" s="67" t="str">
        <x:v>Employee</x:v>
      </x:c>
      <x:c r="E21" s="67" t="str">
        <x:v>Customer Support</x:v>
      </x:c>
      <x:c r="F21" s="67" t="str">
        <x:v>Dana Lee</x:v>
      </x:c>
      <x:c r="G21" s="67" t="str">
        <x:v>Active</x:v>
      </x:c>
      <x:c r="H21" s="67" t="str">
        <x:v>Customer Database</x:v>
      </x:c>
      <x:c r="I21" s="67" t="str">
        <x:v>TRN-A002</x:v>
      </x:c>
      <x:c r="J21" s="67" t="str">
        <x:v>Direct Read</x:v>
      </x:c>
      <x:c r="K21" s="67" t="str">
        <x:v>Elevated</x:v>
      </x:c>
      <x:c r="L21" s="67" t="str">
        <x:v>Restricted</x:v>
      </x:c>
      <x:c r="M21" s="69" t="n">
        <x:v>46290</x:v>
      </x:c>
      <x:c r="N21" s="67" t="str">
        <x:v>Yes</x:v>
      </x:c>
      <x:c r="O21" s="67" t="str">
        <x:v>Legacy customer troubleshooting</x:v>
      </x:c>
      <x:c r="P21" s="67" t="str">
        <x:v>No</x:v>
      </x:c>
      <x:c r="Q21" s="67" t="str">
        <x:v>Remove</x:v>
      </x:c>
      <x:c r="R21" s="67" t="str">
        <x:v>Remove</x:v>
      </x:c>
      <x:c r="S21" s="67" t="str">
        <x:f>IF(R21="Retain","No",IF(R21="Pending","Pending","Yes"))</x:f>
        <x:v>Yes</x:v>
      </x:c>
      <x:c r="T21" s="67" t="str">
        <x:v>EVD-06</x:v>
      </x:c>
      <x:c r="U21" s="67" t="str">
        <x:v>Remove direct database access.</x:v>
      </x:c>
      <x:c r="V21" s="67" t="str">
        <x:v>Database Owner</x:v>
      </x:c>
      <x:c r="W21" s="69" t="n">
        <x:v>46298</x:v>
      </x:c>
      <x:c r="X21" s="67" t="str">
        <x:v>Open</x:v>
      </x:c>
    </x:row>
    <x:row r="22" ht="68" customHeight="1">
      <x:c r="A22" s="67" t="str">
        <x:v>AR-011</x:v>
      </x:c>
      <x:c r="B22" s="67" t="str">
        <x:v>TRN-U005</x:v>
      </x:c>
      <x:c r="C22" s="67" t="str">
        <x:v>Sofia Ramirez</x:v>
      </x:c>
      <x:c r="D22" s="67" t="str">
        <x:v>Employee</x:v>
      </x:c>
      <x:c r="E22" s="67" t="str">
        <x:v>Human Resources</x:v>
      </x:c>
      <x:c r="F22" s="67" t="str">
        <x:v>Jamal Price</x:v>
      </x:c>
      <x:c r="G22" s="67" t="str">
        <x:v>Active</x:v>
      </x:c>
      <x:c r="H22" s="67" t="str">
        <x:v>Microsoft 365</x:v>
      </x:c>
      <x:c r="I22" s="67" t="str">
        <x:v>TRN-A007</x:v>
      </x:c>
      <x:c r="J22" s="67" t="str">
        <x:v>Standard User</x:v>
      </x:c>
      <x:c r="K22" s="67" t="str">
        <x:v>Standard</x:v>
      </x:c>
      <x:c r="L22" s="67" t="str">
        <x:v>Confidential</x:v>
      </x:c>
      <x:c r="M22" s="69" t="n">
        <x:v>46295</x:v>
      </x:c>
      <x:c r="N22" s="67" t="str">
        <x:v>Yes</x:v>
      </x:c>
      <x:c r="O22" s="67" t="str">
        <x:v>HR communications and records</x:v>
      </x:c>
      <x:c r="P22" s="67" t="str">
        <x:v>Yes</x:v>
      </x:c>
      <x:c r="Q22" s="67" t="str">
        <x:v>Approved</x:v>
      </x:c>
      <x:c r="R22" s="67" t="str">
        <x:v>Retain</x:v>
      </x:c>
      <x:c r="S22" s="67" t="str">
        <x:f>IF(R22="Retain","No",IF(R22="Pending","Pending","Yes"))</x:f>
        <x:v>No</x:v>
      </x:c>
      <x:c r="T22" s="67" t="str">
        <x:v>EVD-03</x:v>
      </x:c>
      <x:c r="U22" s="67" t="str">
        <x:v>None</x:v>
      </x:c>
      <x:c r="V22" s="67" t="str">
        <x:v>Human Resources</x:v>
      </x:c>
      <x:c r="W22" s="69"/>
      <x:c r="X22" s="67" t="str">
        <x:v>Not Required</x:v>
      </x:c>
    </x:row>
    <x:row r="23" ht="68" customHeight="1">
      <x:c r="A23" s="67" t="str">
        <x:v>AR-012</x:v>
      </x:c>
      <x:c r="B23" s="67" t="str">
        <x:v>TRN-U006</x:v>
      </x:c>
      <x:c r="C23" s="67" t="str">
        <x:v>Ethan Clark</x:v>
      </x:c>
      <x:c r="D23" s="67" t="str">
        <x:v>Former Contractor</x:v>
      </x:c>
      <x:c r="E23" s="67" t="str">
        <x:v>Software Development</x:v>
      </x:c>
      <x:c r="F23" s="67" t="str">
        <x:v>Nina Shah</x:v>
      </x:c>
      <x:c r="G23" s="67" t="str">
        <x:v>Terminated</x:v>
      </x:c>
      <x:c r="H23" s="67" t="str">
        <x:v>AWS Production</x:v>
      </x:c>
      <x:c r="I23" s="67" t="str">
        <x:v>TRN-A003</x:v>
      </x:c>
      <x:c r="J23" s="67" t="str">
        <x:v>Read Only</x:v>
      </x:c>
      <x:c r="K23" s="67" t="str">
        <x:v>Elevated</x:v>
      </x:c>
      <x:c r="L23" s="67" t="str">
        <x:v>Restricted</x:v>
      </x:c>
      <x:c r="M23" s="69" t="n">
        <x:v>46294</x:v>
      </x:c>
      <x:c r="N23" s="67" t="str">
        <x:v>Yes</x:v>
      </x:c>
      <x:c r="O23" s="67" t="str">
        <x:v>Contract ended 2026-09-20</x:v>
      </x:c>
      <x:c r="P23" s="67" t="str">
        <x:v>No</x:v>
      </x:c>
      <x:c r="Q23" s="67" t="str">
        <x:v>Remove</x:v>
      </x:c>
      <x:c r="R23" s="67" t="str">
        <x:v>Remove</x:v>
      </x:c>
      <x:c r="S23" s="67" t="str">
        <x:f>IF(R23="Retain","No",IF(R23="Pending","Pending","Yes"))</x:f>
        <x:v>Yes</x:v>
      </x:c>
      <x:c r="T23" s="67" t="str">
        <x:v>EVD-02</x:v>
      </x:c>
      <x:c r="U23" s="67" t="str">
        <x:v>Disable immediately, revoke sessions, review activity since termination, and preserve evidence.</x:v>
      </x:c>
      <x:c r="V23" s="67" t="str">
        <x:v>Cybersecurity / IT</x:v>
      </x:c>
      <x:c r="W23" s="69" t="n">
        <x:v>46296</x:v>
      </x:c>
      <x:c r="X23" s="67" t="str">
        <x:v>Open</x:v>
      </x:c>
    </x:row>
    <x:row r="24" ht="68" customHeight="1">
      <x:c r="A24" s="67" t="str">
        <x:v>AR-013</x:v>
      </x:c>
      <x:c r="B24" s="67" t="str">
        <x:v>TRN-U007</x:v>
      </x:c>
      <x:c r="C24" s="67" t="str">
        <x:v>Olivia Kim</x:v>
      </x:c>
      <x:c r="D24" s="67" t="str">
        <x:v>Employee</x:v>
      </x:c>
      <x:c r="E24" s="67" t="str">
        <x:v>Data Analytics</x:v>
      </x:c>
      <x:c r="F24" s="67" t="str">
        <x:v>Elena Ross</x:v>
      </x:c>
      <x:c r="G24" s="67" t="str">
        <x:v>Active</x:v>
      </x:c>
      <x:c r="H24" s="67" t="str">
        <x:v>Analytics Workspace</x:v>
      </x:c>
      <x:c r="I24" s="67" t="str">
        <x:v>TRN-A006</x:v>
      </x:c>
      <x:c r="J24" s="67" t="str">
        <x:v>Contributor</x:v>
      </x:c>
      <x:c r="K24" s="67" t="str">
        <x:v>Elevated</x:v>
      </x:c>
      <x:c r="L24" s="67" t="str">
        <x:v>Restricted</x:v>
      </x:c>
      <x:c r="M24" s="69" t="n">
        <x:v>46295</x:v>
      </x:c>
      <x:c r="N24" s="67" t="str">
        <x:v>Yes</x:v>
      </x:c>
      <x:c r="O24" s="67" t="str">
        <x:v>Build approved wellness and product metrics</x:v>
      </x:c>
      <x:c r="P24" s="67" t="str">
        <x:v>Yes</x:v>
      </x:c>
      <x:c r="Q24" s="67" t="str">
        <x:v>Approved</x:v>
      </x:c>
      <x:c r="R24" s="67" t="str">
        <x:v>Retain</x:v>
      </x:c>
      <x:c r="S24" s="67" t="str">
        <x:f>IF(R24="Retain","No",IF(R24="Pending","Pending","Yes"))</x:f>
        <x:v>No</x:v>
      </x:c>
      <x:c r="T24" s="67" t="str">
        <x:v>EVD-09</x:v>
      </x:c>
      <x:c r="U24" s="67" t="str">
        <x:v>None</x:v>
      </x:c>
      <x:c r="V24" s="67" t="str">
        <x:v>Data Owner</x:v>
      </x:c>
      <x:c r="W24" s="69"/>
      <x:c r="X24" s="67" t="str">
        <x:v>Not Required</x:v>
      </x:c>
    </x:row>
    <x:row r="25" ht="68" customHeight="1">
      <x:c r="A25" s="67" t="str">
        <x:v>AR-014</x:v>
      </x:c>
      <x:c r="B25" s="67" t="str">
        <x:v>TRN-U007</x:v>
      </x:c>
      <x:c r="C25" s="67" t="str">
        <x:v>Olivia Kim</x:v>
      </x:c>
      <x:c r="D25" s="67" t="str">
        <x:v>Employee</x:v>
      </x:c>
      <x:c r="E25" s="67" t="str">
        <x:v>Data Analytics</x:v>
      </x:c>
      <x:c r="F25" s="67" t="str">
        <x:v>Elena Ross</x:v>
      </x:c>
      <x:c r="G25" s="67" t="str">
        <x:v>Active</x:v>
      </x:c>
      <x:c r="H25" s="67" t="str">
        <x:v>Customer Database</x:v>
      </x:c>
      <x:c r="I25" s="67" t="str">
        <x:v>TRN-A002</x:v>
      </x:c>
      <x:c r="J25" s="67" t="str">
        <x:v>Direct Read</x:v>
      </x:c>
      <x:c r="K25" s="67" t="str">
        <x:v>Elevated</x:v>
      </x:c>
      <x:c r="L25" s="67" t="str">
        <x:v>Restricted</x:v>
      </x:c>
      <x:c r="M25" s="69" t="n">
        <x:v>46295</x:v>
      </x:c>
      <x:c r="N25" s="67" t="str">
        <x:v>Yes</x:v>
      </x:c>
      <x:c r="O25" s="67" t="str">
        <x:v>Ad hoc analysis</x:v>
      </x:c>
      <x:c r="P25" s="67" t="str">
        <x:v>Partial</x:v>
      </x:c>
      <x:c r="Q25" s="67" t="str">
        <x:v>Escalate</x:v>
      </x:c>
      <x:c r="R25" s="67" t="str">
        <x:v>Escalate</x:v>
      </x:c>
      <x:c r="S25" s="67" t="str">
        <x:f>IF(R25="Retain","No",IF(R25="Pending","Pending","Yes"))</x:f>
        <x:v>Yes</x:v>
      </x:c>
      <x:c r="T25" s="67" t="str">
        <x:v>EVD-06</x:v>
      </x:c>
      <x:c r="U25" s="67" t="str">
        <x:v>Replace raw production access with approved de-identified analytics view.</x:v>
      </x:c>
      <x:c r="V25" s="67" t="str">
        <x:v>Data Owner</x:v>
      </x:c>
      <x:c r="W25" s="69" t="n">
        <x:v>46310</x:v>
      </x:c>
      <x:c r="X25" s="67" t="str">
        <x:v>Open</x:v>
      </x:c>
    </x:row>
    <x:row r="26" ht="68" customHeight="1">
      <x:c r="A26" s="67" t="str">
        <x:v>AR-015</x:v>
      </x:c>
      <x:c r="B26" s="67" t="str">
        <x:v>TRN-U008</x:v>
      </x:c>
      <x:c r="C26" s="67" t="str">
        <x:v>Marcus Reed</x:v>
      </x:c>
      <x:c r="D26" s="67" t="str">
        <x:v>Employee</x:v>
      </x:c>
      <x:c r="E26" s="67" t="str">
        <x:v>Finance</x:v>
      </x:c>
      <x:c r="F26" s="67" t="str">
        <x:v>Priya Singh</x:v>
      </x:c>
      <x:c r="G26" s="67" t="str">
        <x:v>Active</x:v>
      </x:c>
      <x:c r="H26" s="67" t="str">
        <x:v>Payment Portal</x:v>
      </x:c>
      <x:c r="I26" s="67" t="str">
        <x:v>TRN-A013</x:v>
      </x:c>
      <x:c r="J26" s="67" t="str">
        <x:v>Administrator</x:v>
      </x:c>
      <x:c r="K26" s="67" t="str">
        <x:v>Privileged</x:v>
      </x:c>
      <x:c r="L26" s="67" t="str">
        <x:v>Confidential</x:v>
      </x:c>
      <x:c r="M26" s="69" t="n">
        <x:v>46291</x:v>
      </x:c>
      <x:c r="N26" s="67" t="str">
        <x:v>Yes</x:v>
      </x:c>
      <x:c r="O26" s="67" t="str">
        <x:v>Originally configured subscription rules</x:v>
      </x:c>
      <x:c r="P26" s="67" t="str">
        <x:v>Partial</x:v>
      </x:c>
      <x:c r="Q26" s="67" t="str">
        <x:v>Modify</x:v>
      </x:c>
      <x:c r="R26" s="67" t="str">
        <x:v>Modify</x:v>
      </x:c>
      <x:c r="S26" s="67" t="str">
        <x:f>IF(R26="Retain","No",IF(R26="Pending","Pending","Yes"))</x:f>
        <x:v>Yes</x:v>
      </x:c>
      <x:c r="T26" s="67" t="str">
        <x:v>EVD-10</x:v>
      </x:c>
      <x:c r="U26" s="67" t="str">
        <x:v>Replace administrator with finance-analyst role; retain refund approval only if required.</x:v>
      </x:c>
      <x:c r="V26" s="67" t="str">
        <x:v>Finance System Owner</x:v>
      </x:c>
      <x:c r="W26" s="69" t="n">
        <x:v>46305</x:v>
      </x:c>
      <x:c r="X26" s="67" t="str">
        <x:v>Open</x:v>
      </x:c>
    </x:row>
    <x:row r="27" ht="68" customHeight="1">
      <x:c r="A27" s="67" t="str">
        <x:v>AR-016</x:v>
      </x:c>
      <x:c r="B27" s="67" t="str">
        <x:v>TRN-U008</x:v>
      </x:c>
      <x:c r="C27" s="67" t="str">
        <x:v>Marcus Reed</x:v>
      </x:c>
      <x:c r="D27" s="67" t="str">
        <x:v>Employee</x:v>
      </x:c>
      <x:c r="E27" s="67" t="str">
        <x:v>Finance</x:v>
      </x:c>
      <x:c r="F27" s="67" t="str">
        <x:v>Priya Singh</x:v>
      </x:c>
      <x:c r="G27" s="67" t="str">
        <x:v>Active</x:v>
      </x:c>
      <x:c r="H27" s="67" t="str">
        <x:v>Microsoft 365</x:v>
      </x:c>
      <x:c r="I27" s="67" t="str">
        <x:v>TRN-A007</x:v>
      </x:c>
      <x:c r="J27" s="67" t="str">
        <x:v>Standard User</x:v>
      </x:c>
      <x:c r="K27" s="67" t="str">
        <x:v>Standard</x:v>
      </x:c>
      <x:c r="L27" s="67" t="str">
        <x:v>Internal</x:v>
      </x:c>
      <x:c r="M27" s="69" t="n">
        <x:v>46295</x:v>
      </x:c>
      <x:c r="N27" s="67" t="str">
        <x:v>Yes</x:v>
      </x:c>
      <x:c r="O27" s="67" t="str">
        <x:v>Email and finance collaboration</x:v>
      </x:c>
      <x:c r="P27" s="67" t="str">
        <x:v>Yes</x:v>
      </x:c>
      <x:c r="Q27" s="67" t="str">
        <x:v>Approved</x:v>
      </x:c>
      <x:c r="R27" s="67" t="str">
        <x:v>Retain</x:v>
      </x:c>
      <x:c r="S27" s="67" t="str">
        <x:f>IF(R27="Retain","No",IF(R27="Pending","Pending","Yes"))</x:f>
        <x:v>No</x:v>
      </x:c>
      <x:c r="T27" s="67" t="str">
        <x:v>EVD-03</x:v>
      </x:c>
      <x:c r="U27" s="67" t="str">
        <x:v>None</x:v>
      </x:c>
      <x:c r="V27" s="67" t="str">
        <x:v>Finance</x:v>
      </x:c>
      <x:c r="W27" s="69"/>
      <x:c r="X27" s="67" t="str">
        <x:v>Not Required</x:v>
      </x:c>
    </x:row>
    <x:row r="28" ht="68" customHeight="1">
      <x:c r="A28" s="67" t="str">
        <x:v>AR-017</x:v>
      </x:c>
      <x:c r="B28" s="67" t="str">
        <x:v>TRN-U009</x:v>
      </x:c>
      <x:c r="C28" s="67" t="str">
        <x:v>Ava Thompson</x:v>
      </x:c>
      <x:c r="D28" s="67" t="str">
        <x:v>Employee</x:v>
      </x:c>
      <x:c r="E28" s="67" t="str">
        <x:v>Product</x:v>
      </x:c>
      <x:c r="F28" s="67" t="str">
        <x:v>Elena Ross</x:v>
      </x:c>
      <x:c r="G28" s="67" t="str">
        <x:v>Active</x:v>
      </x:c>
      <x:c r="H28" s="67" t="str">
        <x:v>Jira / Product Workspace</x:v>
      </x:c>
      <x:c r="I28" s="67" t="str">
        <x:v>TRN-A012</x:v>
      </x:c>
      <x:c r="J28" s="67" t="str">
        <x:v>Editor</x:v>
      </x:c>
      <x:c r="K28" s="67" t="str">
        <x:v>Standard</x:v>
      </x:c>
      <x:c r="L28" s="67" t="str">
        <x:v>Internal</x:v>
      </x:c>
      <x:c r="M28" s="69" t="n">
        <x:v>46295</x:v>
      </x:c>
      <x:c r="N28" s="67" t="str">
        <x:v>Yes</x:v>
      </x:c>
      <x:c r="O28" s="67" t="str">
        <x:v>Product planning and requirements</x:v>
      </x:c>
      <x:c r="P28" s="67" t="str">
        <x:v>Yes</x:v>
      </x:c>
      <x:c r="Q28" s="67" t="str">
        <x:v>Approved</x:v>
      </x:c>
      <x:c r="R28" s="67" t="str">
        <x:v>Retain</x:v>
      </x:c>
      <x:c r="S28" s="67" t="str">
        <x:f>IF(R28="Retain","No",IF(R28="Pending","Pending","Yes"))</x:f>
        <x:v>No</x:v>
      </x:c>
      <x:c r="T28" s="67" t="str">
        <x:v>EVD-03</x:v>
      </x:c>
      <x:c r="U28" s="67" t="str">
        <x:v>None</x:v>
      </x:c>
      <x:c r="V28" s="67" t="str">
        <x:v>Product Management</x:v>
      </x:c>
      <x:c r="W28" s="69"/>
      <x:c r="X28" s="67" t="str">
        <x:v>Not Required</x:v>
      </x:c>
    </x:row>
    <x:row r="29" ht="68" customHeight="1">
      <x:c r="A29" s="67" t="str">
        <x:v>AR-018</x:v>
      </x:c>
      <x:c r="B29" s="67" t="str">
        <x:v>TRN-U009</x:v>
      </x:c>
      <x:c r="C29" s="67" t="str">
        <x:v>Ava Thompson</x:v>
      </x:c>
      <x:c r="D29" s="67" t="str">
        <x:v>Employee</x:v>
      </x:c>
      <x:c r="E29" s="67" t="str">
        <x:v>Product</x:v>
      </x:c>
      <x:c r="F29" s="67" t="str">
        <x:v>Elena Ross</x:v>
      </x:c>
      <x:c r="G29" s="67" t="str">
        <x:v>Active</x:v>
      </x:c>
      <x:c r="H29" s="67" t="str">
        <x:v>AWS Production</x:v>
      </x:c>
      <x:c r="I29" s="67" t="str">
        <x:v>TRN-A003</x:v>
      </x:c>
      <x:c r="J29" s="67" t="str">
        <x:v>Read Only</x:v>
      </x:c>
      <x:c r="K29" s="67" t="str">
        <x:v>Elevated</x:v>
      </x:c>
      <x:c r="L29" s="67" t="str">
        <x:v>Restricted</x:v>
      </x:c>
      <x:c r="M29" s="69" t="n">
        <x:v>46244</x:v>
      </x:c>
      <x:c r="N29" s="67" t="str">
        <x:v>Yes</x:v>
      </x:c>
      <x:c r="O29" s="67" t="str">
        <x:v>Temporary launch troubleshooting</x:v>
      </x:c>
      <x:c r="P29" s="67" t="str">
        <x:v>No</x:v>
      </x:c>
      <x:c r="Q29" s="67" t="str">
        <x:v>Remove</x:v>
      </x:c>
      <x:c r="R29" s="67" t="str">
        <x:v>Remove</x:v>
      </x:c>
      <x:c r="S29" s="67" t="str">
        <x:f>IF(R29="Retain","No",IF(R29="Pending","Pending","Yes"))</x:f>
        <x:v>Yes</x:v>
      </x:c>
      <x:c r="T29" s="67" t="str">
        <x:v>EVD-05</x:v>
      </x:c>
      <x:c r="U29" s="67" t="str">
        <x:v>Remove temporary AWS access.</x:v>
      </x:c>
      <x:c r="V29" s="67" t="str">
        <x:v>Cloud Engineering</x:v>
      </x:c>
      <x:c r="W29" s="69" t="n">
        <x:v>46300</x:v>
      </x:c>
      <x:c r="X29" s="67" t="str">
        <x:v>Open</x:v>
      </x:c>
    </x:row>
    <x:row r="30" ht="68" customHeight="1">
      <x:c r="A30" s="67" t="str">
        <x:v>AR-019</x:v>
      </x:c>
      <x:c r="B30" s="67" t="str">
        <x:v>TRN-U010</x:v>
      </x:c>
      <x:c r="C30" s="67" t="str">
        <x:v>Owen Garcia</x:v>
      </x:c>
      <x:c r="D30" s="67" t="str">
        <x:v>Vendor Contractor</x:v>
      </x:c>
      <x:c r="E30" s="67" t="str">
        <x:v>Integration Partner</x:v>
      </x:c>
      <x:c r="F30" s="67" t="str">
        <x:v>Maya Chen</x:v>
      </x:c>
      <x:c r="G30" s="67" t="str">
        <x:v>Active</x:v>
      </x:c>
      <x:c r="H30" s="67" t="str">
        <x:v>GitHub</x:v>
      </x:c>
      <x:c r="I30" s="67" t="str">
        <x:v>TRN-A005</x:v>
      </x:c>
      <x:c r="J30" s="67" t="str">
        <x:v>Repository Read</x:v>
      </x:c>
      <x:c r="K30" s="67" t="str">
        <x:v>Elevated</x:v>
      </x:c>
      <x:c r="L30" s="67" t="str">
        <x:v>Confidential</x:v>
      </x:c>
      <x:c r="M30" s="69" t="n">
        <x:v>46289</x:v>
      </x:c>
      <x:c r="N30" s="67" t="str">
        <x:v>Yes</x:v>
      </x:c>
      <x:c r="O30" s="67" t="str">
        <x:v>Support wearable integration</x:v>
      </x:c>
      <x:c r="P30" s="67" t="str">
        <x:v>Yes</x:v>
      </x:c>
      <x:c r="Q30" s="67" t="str">
        <x:v>Pending</x:v>
      </x:c>
      <x:c r="R30" s="67" t="str">
        <x:v>Escalate</x:v>
      </x:c>
      <x:c r="S30" s="67" t="str">
        <x:f>IF(R30="Retain","No",IF(R30="Pending","Pending","Yes"))</x:f>
        <x:v>Yes</x:v>
      </x:c>
      <x:c r="T30" s="67" t="str">
        <x:v>EVD-04</x:v>
      </x:c>
      <x:c r="U30" s="67" t="str">
        <x:v>Document sponsor approval and expiration date; restrict repository scope.</x:v>
      </x:c>
      <x:c r="V30" s="67" t="str">
        <x:v>Product Management</x:v>
      </x:c>
      <x:c r="W30" s="69" t="n">
        <x:v>46300</x:v>
      </x:c>
      <x:c r="X30" s="67" t="str">
        <x:v>Open</x:v>
      </x:c>
    </x:row>
    <x:row r="31" ht="68" customHeight="1">
      <x:c r="A31" s="67" t="str">
        <x:v>AR-020</x:v>
      </x:c>
      <x:c r="B31" s="67" t="str">
        <x:v>svc-wearable-api</x:v>
      </x:c>
      <x:c r="C31" s="67" t="str">
        <x:v>Wearable API Service</x:v>
      </x:c>
      <x:c r="D31" s="67" t="str">
        <x:v>Service Account</x:v>
      </x:c>
      <x:c r="E31" s="67" t="str">
        <x:v>Software Development</x:v>
      </x:c>
      <x:c r="F31" s="67" t="str">
        <x:v>Unassigned</x:v>
      </x:c>
      <x:c r="G31" s="67" t="str">
        <x:v>Active</x:v>
      </x:c>
      <x:c r="H31" s="67" t="str">
        <x:v>AWS Production</x:v>
      </x:c>
      <x:c r="I31" s="67" t="str">
        <x:v>TRN-A003</x:v>
      </x:c>
      <x:c r="J31" s="67" t="str">
        <x:v>Integration Role</x:v>
      </x:c>
      <x:c r="K31" s="67" t="str">
        <x:v>Privileged</x:v>
      </x:c>
      <x:c r="L31" s="67" t="str">
        <x:v>Restricted</x:v>
      </x:c>
      <x:c r="M31" s="69" t="n">
        <x:v>46295</x:v>
      </x:c>
      <x:c r="N31" s="67" t="str">
        <x:v>N/A</x:v>
      </x:c>
      <x:c r="O31" s="67" t="str">
        <x:v>Synchronize approved wearable data</x:v>
      </x:c>
      <x:c r="P31" s="67" t="str">
        <x:v>Yes</x:v>
      </x:c>
      <x:c r="Q31" s="67" t="str">
        <x:v>Pending</x:v>
      </x:c>
      <x:c r="R31" s="67" t="str">
        <x:v>Escalate</x:v>
      </x:c>
      <x:c r="S31" s="67" t="str">
        <x:f>IF(R31="Retain","No",IF(R31="Pending","Pending","Yes"))</x:f>
        <x:v>Yes</x:v>
      </x:c>
      <x:c r="T31" s="67" t="str">
        <x:v>EVD-11</x:v>
      </x:c>
      <x:c r="U31" s="67" t="str">
        <x:v>Assign owner, document scope, review permissions, and establish credential rotation.</x:v>
      </x:c>
      <x:c r="V31" s="67" t="str">
        <x:v>Software Development</x:v>
      </x:c>
      <x:c r="W31" s="69" t="n">
        <x:v>46303</x:v>
      </x:c>
      <x:c r="X31" s="67" t="str">
        <x:v>Open</x:v>
      </x:c>
    </x:row>
    <x:row r="32" ht="68" customHeight="1">
      <x:c r="A32" s="67" t="str">
        <x:v>AR-021</x:v>
      </x:c>
      <x:c r="B32" s="67" t="str">
        <x:v>TRN-U011</x:v>
      </x:c>
      <x:c r="C32" s="67" t="str">
        <x:v>Isabella Moore</x:v>
      </x:c>
      <x:c r="D32" s="67" t="str">
        <x:v>Employee</x:v>
      </x:c>
      <x:c r="E32" s="67" t="str">
        <x:v>Marketing</x:v>
      </x:c>
      <x:c r="F32" s="67" t="str">
        <x:v>Robin Green</x:v>
      </x:c>
      <x:c r="G32" s="67" t="str">
        <x:v>Active</x:v>
      </x:c>
      <x:c r="H32" s="67" t="str">
        <x:v>Support Platform</x:v>
      </x:c>
      <x:c r="I32" s="67" t="str">
        <x:v>TRN-A009</x:v>
      </x:c>
      <x:c r="J32" s="67" t="str">
        <x:v>Support Agent</x:v>
      </x:c>
      <x:c r="K32" s="67" t="str">
        <x:v>Elevated</x:v>
      </x:c>
      <x:c r="L32" s="67" t="str">
        <x:v>Restricted</x:v>
      </x:c>
      <x:c r="M32" s="69" t="n">
        <x:v>46204</x:v>
      </x:c>
      <x:c r="N32" s="67" t="str">
        <x:v>Yes</x:v>
      </x:c>
      <x:c r="O32" s="67" t="str">
        <x:v>Transferred from Support to Marketing</x:v>
      </x:c>
      <x:c r="P32" s="67" t="str">
        <x:v>No</x:v>
      </x:c>
      <x:c r="Q32" s="67" t="str">
        <x:v>Remove</x:v>
      </x:c>
      <x:c r="R32" s="67" t="str">
        <x:v>Remove</x:v>
      </x:c>
      <x:c r="S32" s="67" t="str">
        <x:f>IF(R32="Retain","No",IF(R32="Pending","Pending","Yes"))</x:f>
        <x:v>Yes</x:v>
      </x:c>
      <x:c r="T32" s="67" t="str">
        <x:v>EVD-08</x:v>
      </x:c>
      <x:c r="U32" s="67" t="str">
        <x:v>Remove former support role and confirm no other inherited access remains.</x:v>
      </x:c>
      <x:c r="V32" s="67" t="str">
        <x:v>Support System Owner</x:v>
      </x:c>
      <x:c r="W32" s="69" t="n">
        <x:v>46298</x:v>
      </x:c>
      <x:c r="X32" s="67" t="str">
        <x:v>Open</x:v>
      </x:c>
    </x:row>
    <x:row r="33" ht="68" customHeight="1">
      <x:c r="A33" s="67" t="str">
        <x:v>AR-022</x:v>
      </x:c>
      <x:c r="B33" s="67" t="str">
        <x:v>TRN-U011</x:v>
      </x:c>
      <x:c r="C33" s="67" t="str">
        <x:v>Isabella Moore</x:v>
      </x:c>
      <x:c r="D33" s="67" t="str">
        <x:v>Employee</x:v>
      </x:c>
      <x:c r="E33" s="67" t="str">
        <x:v>Marketing</x:v>
      </x:c>
      <x:c r="F33" s="67" t="str">
        <x:v>Robin Green</x:v>
      </x:c>
      <x:c r="G33" s="67" t="str">
        <x:v>Active</x:v>
      </x:c>
      <x:c r="H33" s="67" t="str">
        <x:v>Microsoft 365</x:v>
      </x:c>
      <x:c r="I33" s="67" t="str">
        <x:v>TRN-A007</x:v>
      </x:c>
      <x:c r="J33" s="67" t="str">
        <x:v>Standard User</x:v>
      </x:c>
      <x:c r="K33" s="67" t="str">
        <x:v>Standard</x:v>
      </x:c>
      <x:c r="L33" s="67" t="str">
        <x:v>Internal</x:v>
      </x:c>
      <x:c r="M33" s="69" t="n">
        <x:v>46295</x:v>
      </x:c>
      <x:c r="N33" s="67" t="str">
        <x:v>Yes</x:v>
      </x:c>
      <x:c r="O33" s="67" t="str">
        <x:v>Marketing communications</x:v>
      </x:c>
      <x:c r="P33" s="67" t="str">
        <x:v>Yes</x:v>
      </x:c>
      <x:c r="Q33" s="67" t="str">
        <x:v>Approved</x:v>
      </x:c>
      <x:c r="R33" s="67" t="str">
        <x:v>Retain</x:v>
      </x:c>
      <x:c r="S33" s="67" t="str">
        <x:f>IF(R33="Retain","No",IF(R33="Pending","Pending","Yes"))</x:f>
        <x:v>No</x:v>
      </x:c>
      <x:c r="T33" s="67" t="str">
        <x:v>EVD-03</x:v>
      </x:c>
      <x:c r="U33" s="67" t="str">
        <x:v>None</x:v>
      </x:c>
      <x:c r="V33" s="67" t="str">
        <x:v>Marketing</x:v>
      </x:c>
      <x:c r="W33" s="69"/>
      <x:c r="X33" s="67" t="str">
        <x:v>Not Required</x:v>
      </x:c>
    </x:row>
    <x:row r="34" ht="68" customHeight="1">
      <x:c r="A34" s="67" t="str">
        <x:v>AR-023</x:v>
      </x:c>
      <x:c r="B34" s="67" t="str">
        <x:v>TRN-U012</x:v>
      </x:c>
      <x:c r="C34" s="67" t="str">
        <x:v>Caleb Jones</x:v>
      </x:c>
      <x:c r="D34" s="67" t="str">
        <x:v>Employee</x:v>
      </x:c>
      <x:c r="E34" s="67" t="str">
        <x:v>Information Technology</x:v>
      </x:c>
      <x:c r="F34" s="67" t="str">
        <x:v>Executive Leadership</x:v>
      </x:c>
      <x:c r="G34" s="67" t="str">
        <x:v>Active</x:v>
      </x:c>
      <x:c r="H34" s="67" t="str">
        <x:v>Microsoft 365</x:v>
      </x:c>
      <x:c r="I34" s="67" t="str">
        <x:v>TRN-A007</x:v>
      </x:c>
      <x:c r="J34" s="67" t="str">
        <x:v>Global Administrator</x:v>
      </x:c>
      <x:c r="K34" s="67" t="str">
        <x:v>Privileged</x:v>
      </x:c>
      <x:c r="L34" s="67" t="str">
        <x:v>Confidential</x:v>
      </x:c>
      <x:c r="M34" s="69" t="n">
        <x:v>46295</x:v>
      </x:c>
      <x:c r="N34" s="67" t="str">
        <x:v>Yes</x:v>
      </x:c>
      <x:c r="O34" s="67" t="str">
        <x:v>Primary tenant administrator</x:v>
      </x:c>
      <x:c r="P34" s="67" t="str">
        <x:v>Yes</x:v>
      </x:c>
      <x:c r="Q34" s="67" t="str">
        <x:v>Approved</x:v>
      </x:c>
      <x:c r="R34" s="67" t="str">
        <x:v>Retain</x:v>
      </x:c>
      <x:c r="S34" s="67" t="str">
        <x:f>IF(R34="Retain","No",IF(R34="Pending","Pending","Yes"))</x:f>
        <x:v>No</x:v>
      </x:c>
      <x:c r="T34" s="67" t="str">
        <x:v>EVD-12</x:v>
      </x:c>
      <x:c r="U34" s="67" t="str">
        <x:v>Retain separate standard account and monitor privileged activity.</x:v>
      </x:c>
      <x:c r="V34" s="67" t="str">
        <x:v>Executive Leadership</x:v>
      </x:c>
      <x:c r="W34" s="69"/>
      <x:c r="X34" s="67" t="str">
        <x:v>Not Required</x:v>
      </x:c>
    </x:row>
    <x:row r="35" ht="68" customHeight="1">
      <x:c r="A35" s="67" t="str">
        <x:v>AR-024</x:v>
      </x:c>
      <x:c r="B35" s="67" t="str">
        <x:v>TRN-U012</x:v>
      </x:c>
      <x:c r="C35" s="67" t="str">
        <x:v>Caleb Jones</x:v>
      </x:c>
      <x:c r="D35" s="67" t="str">
        <x:v>Employee</x:v>
      </x:c>
      <x:c r="E35" s="67" t="str">
        <x:v>Information Technology</x:v>
      </x:c>
      <x:c r="F35" s="67" t="str">
        <x:v>Executive Leadership</x:v>
      </x:c>
      <x:c r="G35" s="67" t="str">
        <x:v>Active</x:v>
      </x:c>
      <x:c r="H35" s="67" t="str">
        <x:v>AWS Production</x:v>
      </x:c>
      <x:c r="I35" s="67" t="str">
        <x:v>TRN-A003</x:v>
      </x:c>
      <x:c r="J35" s="67" t="str">
        <x:v>Administrator</x:v>
      </x:c>
      <x:c r="K35" s="67" t="str">
        <x:v>Privileged</x:v>
      </x:c>
      <x:c r="L35" s="67" t="str">
        <x:v>Restricted</x:v>
      </x:c>
      <x:c r="M35" s="69" t="n">
        <x:v>46295</x:v>
      </x:c>
      <x:c r="N35" s="67" t="str">
        <x:v>Yes</x:v>
      </x:c>
      <x:c r="O35" s="67" t="str">
        <x:v>Cloud administration and incident recovery</x:v>
      </x:c>
      <x:c r="P35" s="67" t="str">
        <x:v>Yes</x:v>
      </x:c>
      <x:c r="Q35" s="67" t="str">
        <x:v>Approved</x:v>
      </x:c>
      <x:c r="R35" s="67" t="str">
        <x:v>Retain</x:v>
      </x:c>
      <x:c r="S35" s="67" t="str">
        <x:f>IF(R35="Retain","No",IF(R35="Pending","Pending","Yes"))</x:f>
        <x:v>No</x:v>
      </x:c>
      <x:c r="T35" s="67" t="str">
        <x:v>EVD-05</x:v>
      </x:c>
      <x:c r="U35" s="67" t="str">
        <x:v>Retain separate standard account and quarterly review.</x:v>
      </x:c>
      <x:c r="V35" s="67" t="str">
        <x:v>Executive Leadership</x:v>
      </x:c>
      <x:c r="W35" s="69"/>
      <x:c r="X35" s="67" t="str">
        <x:v>Not Required</x:v>
      </x:c>
    </x:row>
    <x:row r="36" ht="68" customHeight="1">
      <x:c r="A36" s="67" t="str">
        <x:v>AR-025</x:v>
      </x:c>
      <x:c r="B36" s="67" t="str">
        <x:v>TRN-U013</x:v>
      </x:c>
      <x:c r="C36" s="67" t="str">
        <x:v>Mia Carter</x:v>
      </x:c>
      <x:c r="D36" s="67" t="str">
        <x:v>Temporary QA</x:v>
      </x:c>
      <x:c r="E36" s="67" t="str">
        <x:v>Quality Assurance</x:v>
      </x:c>
      <x:c r="F36" s="67" t="str">
        <x:v>Nina Shah</x:v>
      </x:c>
      <x:c r="G36" s="67" t="str">
        <x:v>Active</x:v>
      </x:c>
      <x:c r="H36" s="67" t="str">
        <x:v>GitHub</x:v>
      </x:c>
      <x:c r="I36" s="67" t="str">
        <x:v>TRN-A005</x:v>
      </x:c>
      <x:c r="J36" s="67" t="str">
        <x:v>Test Repository Write</x:v>
      </x:c>
      <x:c r="K36" s="67" t="str">
        <x:v>Elevated</x:v>
      </x:c>
      <x:c r="L36" s="67" t="str">
        <x:v>Confidential</x:v>
      </x:c>
      <x:c r="M36" s="69" t="n">
        <x:v>46295</x:v>
      </x:c>
      <x:c r="N36" s="67" t="str">
        <x:v>Yes</x:v>
      </x:c>
      <x:c r="O36" s="67" t="str">
        <x:v>Time-bound test automation</x:v>
      </x:c>
      <x:c r="P36" s="67" t="str">
        <x:v>Yes</x:v>
      </x:c>
      <x:c r="Q36" s="67" t="str">
        <x:v>Approved</x:v>
      </x:c>
      <x:c r="R36" s="67" t="str">
        <x:v>Retain</x:v>
      </x:c>
      <x:c r="S36" s="67" t="str">
        <x:f>IF(R36="Retain","No",IF(R36="Pending","Pending","Yes"))</x:f>
        <x:v>No</x:v>
      </x:c>
      <x:c r="T36" s="67" t="str">
        <x:v>EVD-04</x:v>
      </x:c>
      <x:c r="U36" s="67" t="str">
        <x:v>Expire access automatically on 2026-10-15.</x:v>
      </x:c>
      <x:c r="V36" s="67" t="str">
        <x:v>Software Development</x:v>
      </x:c>
      <x:c r="W36" s="69" t="n">
        <x:v>46310</x:v>
      </x:c>
      <x:c r="X36" s="67" t="str">
        <x:v>Scheduled</x:v>
      </x:c>
    </x:row>
    <x:row r="37" ht="68" customHeight="1">
      <x:c r="A37" s="67" t="str">
        <x:v>AR-026</x:v>
      </x:c>
      <x:c r="B37" s="67" t="str">
        <x:v>TRN-U013</x:v>
      </x:c>
      <x:c r="C37" s="67" t="str">
        <x:v>Mia Carter</x:v>
      </x:c>
      <x:c r="D37" s="67" t="str">
        <x:v>Temporary QA</x:v>
      </x:c>
      <x:c r="E37" s="67" t="str">
        <x:v>Quality Assurance</x:v>
      </x:c>
      <x:c r="F37" s="67" t="str">
        <x:v>Nina Shah</x:v>
      </x:c>
      <x:c r="G37" s="67" t="str">
        <x:v>Active</x:v>
      </x:c>
      <x:c r="H37" s="67" t="str">
        <x:v>Test Environment</x:v>
      </x:c>
      <x:c r="I37" s="67" t="str">
        <x:v>TRN-A014</x:v>
      </x:c>
      <x:c r="J37" s="67" t="str">
        <x:v>Tester</x:v>
      </x:c>
      <x:c r="K37" s="67" t="str">
        <x:v>Standard</x:v>
      </x:c>
      <x:c r="L37" s="67" t="str">
        <x:v>Confidential</x:v>
      </x:c>
      <x:c r="M37" s="69" t="n">
        <x:v>46295</x:v>
      </x:c>
      <x:c r="N37" s="67" t="str">
        <x:v>Yes</x:v>
      </x:c>
      <x:c r="O37" s="67" t="str">
        <x:v>Execute application tests</x:v>
      </x:c>
      <x:c r="P37" s="67" t="str">
        <x:v>Yes</x:v>
      </x:c>
      <x:c r="Q37" s="67" t="str">
        <x:v>Approved</x:v>
      </x:c>
      <x:c r="R37" s="67" t="str">
        <x:v>Retain</x:v>
      </x:c>
      <x:c r="S37" s="67" t="str">
        <x:f>IF(R37="Retain","No",IF(R37="Pending","Pending","Yes"))</x:f>
        <x:v>No</x:v>
      </x:c>
      <x:c r="T37" s="67" t="str">
        <x:v>EVD-13</x:v>
      </x:c>
      <x:c r="U37" s="67" t="str">
        <x:v>Expire access automatically on 2026-10-15.</x:v>
      </x:c>
      <x:c r="V37" s="67" t="str">
        <x:v>Software Development</x:v>
      </x:c>
      <x:c r="W37" s="69" t="n">
        <x:v>46310</x:v>
      </x:c>
      <x:c r="X37" s="67" t="str">
        <x:v>Scheduled</x:v>
      </x:c>
    </x:row>
    <x:row r="38" ht="68" customHeight="1">
      <x:c r="A38" s="67" t="str">
        <x:v>AR-027</x:v>
      </x:c>
      <x:c r="B38" s="67" t="str">
        <x:v>TRN-U014</x:v>
      </x:c>
      <x:c r="C38" s="67" t="str">
        <x:v>Zoe Martin</x:v>
      </x:c>
      <x:c r="D38" s="67" t="str">
        <x:v>Employee</x:v>
      </x:c>
      <x:c r="E38" s="67" t="str">
        <x:v>Customer Support</x:v>
      </x:c>
      <x:c r="F38" s="67" t="str">
        <x:v>Dana Lee</x:v>
      </x:c>
      <x:c r="G38" s="67" t="str">
        <x:v>Active</x:v>
      </x:c>
      <x:c r="H38" s="67" t="str">
        <x:v>Support Platform</x:v>
      </x:c>
      <x:c r="I38" s="67" t="str">
        <x:v>TRN-A009</x:v>
      </x:c>
      <x:c r="J38" s="67" t="str">
        <x:v>Support Agent</x:v>
      </x:c>
      <x:c r="K38" s="67" t="str">
        <x:v>Elevated</x:v>
      </x:c>
      <x:c r="L38" s="67" t="str">
        <x:v>Restricted</x:v>
      </x:c>
      <x:c r="M38" s="69" t="n">
        <x:v>46295</x:v>
      </x:c>
      <x:c r="N38" s="67" t="str">
        <x:v>Yes</x:v>
      </x:c>
      <x:c r="O38" s="67" t="str">
        <x:v>Customer troubleshooting</x:v>
      </x:c>
      <x:c r="P38" s="67" t="str">
        <x:v>Yes</x:v>
      </x:c>
      <x:c r="Q38" s="67" t="str">
        <x:v>Approved</x:v>
      </x:c>
      <x:c r="R38" s="67" t="str">
        <x:v>Retain</x:v>
      </x:c>
      <x:c r="S38" s="67" t="str">
        <x:f>IF(R38="Retain","No",IF(R38="Pending","Pending","Yes"))</x:f>
        <x:v>No</x:v>
      </x:c>
      <x:c r="T38" s="67" t="str">
        <x:v>EVD-08</x:v>
      </x:c>
      <x:c r="U38" s="67" t="str">
        <x:v>None</x:v>
      </x:c>
      <x:c r="V38" s="67" t="str">
        <x:v>Support System Owner</x:v>
      </x:c>
      <x:c r="W38" s="69"/>
      <x:c r="X38" s="67" t="str">
        <x:v>Not Required</x:v>
      </x:c>
    </x:row>
    <x:row r="39" ht="68" customHeight="1">
      <x:c r="A39" s="67" t="str">
        <x:v>AR-028</x:v>
      </x:c>
      <x:c r="B39" s="67" t="str">
        <x:v>TRN-U014</x:v>
      </x:c>
      <x:c r="C39" s="67" t="str">
        <x:v>Zoe Martin</x:v>
      </x:c>
      <x:c r="D39" s="67" t="str">
        <x:v>Employee</x:v>
      </x:c>
      <x:c r="E39" s="67" t="str">
        <x:v>Customer Support</x:v>
      </x:c>
      <x:c r="F39" s="67" t="str">
        <x:v>Dana Lee</x:v>
      </x:c>
      <x:c r="G39" s="67" t="str">
        <x:v>Active</x:v>
      </x:c>
      <x:c r="H39" s="67" t="str">
        <x:v>Microsoft 365</x:v>
      </x:c>
      <x:c r="I39" s="67" t="str">
        <x:v>TRN-A007</x:v>
      </x:c>
      <x:c r="J39" s="67" t="str">
        <x:v>Standard User</x:v>
      </x:c>
      <x:c r="K39" s="67" t="str">
        <x:v>Standard</x:v>
      </x:c>
      <x:c r="L39" s="67" t="str">
        <x:v>Internal</x:v>
      </x:c>
      <x:c r="M39" s="69" t="n">
        <x:v>46295</x:v>
      </x:c>
      <x:c r="N39" s="67" t="str">
        <x:v>Yes</x:v>
      </x:c>
      <x:c r="O39" s="67" t="str">
        <x:v>Email and support collaboration</x:v>
      </x:c>
      <x:c r="P39" s="67" t="str">
        <x:v>Yes</x:v>
      </x:c>
      <x:c r="Q39" s="67" t="str">
        <x:v>Approved</x:v>
      </x:c>
      <x:c r="R39" s="67" t="str">
        <x:v>Retain</x:v>
      </x:c>
      <x:c r="S39" s="67" t="str">
        <x:f>IF(R39="Retain","No",IF(R39="Pending","Pending","Yes"))</x:f>
        <x:v>No</x:v>
      </x:c>
      <x:c r="T39" s="67" t="str">
        <x:v>EVD-03</x:v>
      </x:c>
      <x:c r="U39" s="67" t="str">
        <x:v>None</x:v>
      </x:c>
      <x:c r="V39" s="67" t="str">
        <x:v>Customer Support</x:v>
      </x:c>
      <x:c r="W39" s="69"/>
      <x:c r="X39" s="67" t="str">
        <x:v>Not Required</x:v>
      </x:c>
    </x:row>
  </x:sheetData>
  <x:mergeCells>
    <x:mergeCell ref="A1:X1"/>
    <x:mergeCell ref="A2:X2"/>
    <x:mergeCell ref="A4:X4"/>
    <x:mergeCell ref="A5:X8"/>
    <x:mergeCell ref="A10:X10"/>
  </x:mergeCells>
  <x:conditionalFormatting sqref="R12:R39">
    <x:cfRule type="containsText" dxfId="0" priority="1" operator="containsText" text="Retain"/>
    <x:cfRule type="containsText" dxfId="1" priority="2" operator="containsText" text="Modify"/>
    <x:cfRule type="containsText" dxfId="2" priority="3" operator="containsText" text="Remove"/>
    <x:cfRule type="containsText" dxfId="3" priority="4" operator="containsText" text="Escalate"/>
  </x:conditionalFormatting>
  <x:conditionalFormatting sqref="S12:S39">
    <x:cfRule type="containsText" dxfId="4" priority="5" operator="containsText" text="Yes"/>
  </x:conditionalFormatting>
  <x:dataValidations count="4">
    <x:dataValidation type="list" sqref="P12:P39">
      <x:formula1>"Yes,Partial,No"</x:formula1>
    </x:dataValidation>
    <x:dataValidation type="list" sqref="Q12:Q39">
      <x:formula1>"Approved,Modify,Remove,Pending"</x:formula1>
    </x:dataValidation>
    <x:dataValidation type="list" sqref="R12:R39">
      <x:formula1>"Retain,Modify,Remove,Escalate,Pending"</x:formula1>
    </x:dataValidation>
    <x:dataValidation type="list" sqref="X12:X39">
      <x:formula1>"Open,In Progress,Scheduled,Closed,Accepted,Not Required"</x:formula1>
    </x:dataValidation>
  </x:dataValidations>
  <x:pageMargins left="0.7" right="0.7" top="0.75" bottom="0.75" header="0.3" footer="0.3"/>
  <x:tableParts count="1">
    <x:tablePart xmlns:r="http://schemas.openxmlformats.org/officeDocument/2006/relationships" r:id="Rc3654a28f2094f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8" hidden="0" customWidth="1"/>
    <x:col min="4" max="4" width="22" hidden="0" customWidth="1"/>
    <x:col min="5" max="5" width="11" hidden="0" customWidth="1"/>
    <x:col min="6" max="6" width="10" hidden="0" customWidth="1"/>
    <x:col min="7" max="7" width="11" hidden="0" customWidth="1"/>
    <x:col min="8" max="8" width="13" hidden="0" customWidth="1"/>
    <x:col min="9" max="9" width="44" hidden="0" customWidth="1"/>
    <x:col min="10" max="10" width="22" hidden="0" customWidth="1"/>
    <x:col min="11" max="11" width="14" hidden="0" customWidth="1"/>
    <x:col min="12" max="12" width="38" hidden="0" customWidth="1"/>
    <x:col min="13" max="13" width="15" hidden="0" customWidth="1"/>
    <x:col min="14" max="14" width="16" hidden="0" customWidth="1"/>
    <x:col min="15" max="15" width="15" hidden="0" customWidth="1"/>
    <x:col min="16" max="16" width="14" hidden="0" customWidth="1"/>
    <x:col min="17" max="17" width="15" hidden="0" customWidth="1"/>
    <x:col min="18" max="18" width="40" hidden="0" customWidth="1"/>
  </x:cols>
  <x:sheetData>
    <x:row r="1" ht="34" customHeight="1">
      <x:c r="A1" s="60" t="str">
        <x:v>Access Review Findings and Remediation</x:v>
      </x:c>
      <x:c r="B1" s="60"/>
      <x:c r="C1" s="60"/>
      <x:c r="D1" s="60"/>
      <x:c r="E1" s="60"/>
      <x:c r="F1" s="60"/>
      <x:c r="G1" s="60"/>
      <x:c r="H1" s="60"/>
      <x:c r="I1" s="60"/>
      <x:c r="J1" s="60"/>
      <x:c r="K1" s="60"/>
      <x:c r="L1" s="60"/>
      <x:c r="M1" s="60"/>
      <x:c r="N1" s="60"/>
      <x:c r="O1" s="60"/>
      <x:c r="P1" s="60"/>
      <x:c r="Q1" s="60"/>
      <x:c r="R1" s="60"/>
    </x:row>
    <x:row r="2" ht="24" customHeight="1">
      <x:c r="A2" s="61" t="str">
        <x:v>Exceptions identified during the Q4 2026 access certification</x:v>
      </x:c>
      <x:c r="B2" s="61"/>
      <x:c r="C2" s="61"/>
      <x:c r="D2" s="61"/>
      <x:c r="E2" s="61"/>
      <x:c r="F2" s="61"/>
      <x:c r="G2" s="61"/>
      <x:c r="H2" s="61"/>
      <x:c r="I2" s="61"/>
      <x:c r="J2" s="61"/>
      <x:c r="K2" s="61"/>
      <x:c r="L2" s="61"/>
      <x:c r="M2" s="61"/>
      <x:c r="N2" s="61"/>
      <x:c r="O2" s="61"/>
      <x:c r="P2" s="61"/>
      <x:c r="Q2" s="61"/>
      <x:c r="R2" s="61"/>
    </x:row>
    <x:row r="3">
      <x:c r="A3" s="62"/>
      <x:c r="B3" s="62"/>
      <x:c r="C3" s="62"/>
      <x:c r="D3" s="62"/>
      <x:c r="E3" s="62"/>
      <x:c r="F3" s="62"/>
      <x:c r="G3" s="62"/>
      <x:c r="H3" s="62"/>
      <x:c r="I3" s="62"/>
      <x:c r="J3" s="62"/>
      <x:c r="K3" s="62"/>
      <x:c r="L3" s="62"/>
      <x:c r="M3" s="62"/>
      <x:c r="N3" s="62"/>
      <x:c r="O3" s="62"/>
      <x:c r="P3" s="62"/>
      <x:c r="Q3" s="62"/>
      <x:c r="R3" s="62"/>
    </x:row>
    <x:row r="4" ht="23" customHeight="1">
      <x:c r="A4" s="63" t="str">
        <x:v>Findings summary</x:v>
      </x:c>
      <x:c r="B4" s="64"/>
      <x:c r="C4" s="64"/>
      <x:c r="D4" s="64"/>
      <x:c r="E4" s="64"/>
      <x:c r="F4" s="64"/>
      <x:c r="G4" s="64"/>
      <x:c r="H4" s="64"/>
      <x:c r="I4" s="64"/>
      <x:c r="J4" s="64"/>
      <x:c r="K4" s="64"/>
      <x:c r="L4" s="64"/>
      <x:c r="M4" s="64"/>
      <x:c r="N4" s="64"/>
      <x:c r="O4" s="64"/>
      <x:c r="P4" s="64"/>
      <x:c r="Q4" s="64"/>
      <x:c r="R4" s="65"/>
    </x:row>
    <x:row r="5">
      <x:c r="A5" s="66" t="str">
        <x:v>Total findings</x:v>
      </x:c>
      <x:c r="B5" s="67" t="n">
        <x:f>COUNTA(A12:A19)</x:f>
        <x:v>8</x:v>
      </x:c>
      <x:c r="C5" s="62"/>
      <x:c r="D5" s="62"/>
      <x:c r="E5" s="62"/>
      <x:c r="F5" s="62"/>
      <x:c r="G5" s="62"/>
      <x:c r="H5" s="62"/>
      <x:c r="I5" s="62"/>
      <x:c r="J5" s="62"/>
      <x:c r="K5" s="62"/>
      <x:c r="L5" s="62"/>
      <x:c r="M5" s="62"/>
      <x:c r="N5" s="62"/>
      <x:c r="O5" s="62"/>
      <x:c r="P5" s="62"/>
      <x:c r="Q5" s="62"/>
      <x:c r="R5" s="62"/>
    </x:row>
    <x:row r="6">
      <x:c r="A6" s="66" t="str">
        <x:v>Critical</x:v>
      </x:c>
      <x:c r="B6" s="67" t="n">
        <x:f>COUNTIF(H12:H19,"Critical")</x:f>
        <x:v>4</x:v>
      </x:c>
      <x:c r="C6" s="62"/>
      <x:c r="D6" s="62"/>
      <x:c r="E6" s="62"/>
      <x:c r="F6" s="62"/>
      <x:c r="G6" s="62"/>
      <x:c r="H6" s="62"/>
      <x:c r="I6" s="62"/>
      <x:c r="J6" s="62"/>
      <x:c r="K6" s="62"/>
      <x:c r="L6" s="62"/>
      <x:c r="M6" s="62"/>
      <x:c r="N6" s="62"/>
      <x:c r="O6" s="62"/>
      <x:c r="P6" s="62"/>
      <x:c r="Q6" s="62"/>
      <x:c r="R6" s="62"/>
    </x:row>
    <x:row r="7">
      <x:c r="A7" s="66" t="str">
        <x:v>High</x:v>
      </x:c>
      <x:c r="B7" s="67" t="n">
        <x:f>COUNTIF(H12:H19,"High")</x:f>
        <x:v>4</x:v>
      </x:c>
      <x:c r="C7" s="62"/>
      <x:c r="D7" s="62"/>
      <x:c r="E7" s="62"/>
      <x:c r="F7" s="62"/>
      <x:c r="G7" s="62"/>
      <x:c r="H7" s="62"/>
      <x:c r="I7" s="62"/>
      <x:c r="J7" s="62"/>
      <x:c r="K7" s="62"/>
      <x:c r="L7" s="62"/>
      <x:c r="M7" s="62"/>
      <x:c r="N7" s="62"/>
      <x:c r="O7" s="62"/>
      <x:c r="P7" s="62"/>
      <x:c r="Q7" s="62"/>
      <x:c r="R7" s="62"/>
    </x:row>
    <x:row r="8">
      <x:c r="A8" s="66" t="str">
        <x:v>Open / In Progress</x:v>
      </x:c>
      <x:c r="B8" s="67" t="n">
        <x:f>COUNTIF(M12:M19,"Open")+COUNTIF(M12:M19,"In Progress")</x:f>
        <x:v>8</x:v>
      </x:c>
      <x:c r="C8" s="62"/>
      <x:c r="D8" s="62"/>
      <x:c r="E8" s="62"/>
      <x:c r="F8" s="62"/>
      <x:c r="G8" s="62"/>
      <x:c r="H8" s="62"/>
      <x:c r="I8" s="62"/>
      <x:c r="J8" s="62"/>
      <x:c r="K8" s="62"/>
      <x:c r="L8" s="62"/>
      <x:c r="M8" s="62"/>
      <x:c r="N8" s="62"/>
      <x:c r="O8" s="62"/>
      <x:c r="P8" s="62"/>
      <x:c r="Q8" s="62"/>
      <x:c r="R8" s="62"/>
    </x:row>
    <x:row r="9">
      <x:c r="A9" s="66" t="str">
        <x:v>Policy connection</x:v>
      </x:c>
      <x:c r="B9" s="67" t="str">
        <x:v>Access Control Policy Sections 5, 7, 8, and 11</x:v>
      </x:c>
      <x:c r="C9" s="62"/>
      <x:c r="D9" s="62"/>
      <x:c r="E9" s="62"/>
      <x:c r="F9" s="62"/>
      <x:c r="G9" s="62"/>
      <x:c r="H9" s="62"/>
      <x:c r="I9" s="62"/>
      <x:c r="J9" s="62"/>
      <x:c r="K9" s="62"/>
      <x:c r="L9" s="62"/>
      <x:c r="M9" s="62"/>
      <x:c r="N9" s="62"/>
      <x:c r="O9" s="62"/>
      <x:c r="P9" s="62"/>
      <x:c r="Q9" s="62"/>
      <x:c r="R9" s="62"/>
    </x:row>
    <x:row r="10">
      <x:c r="A10" s="62"/>
      <x:c r="B10" s="62"/>
      <x:c r="C10" s="62"/>
      <x:c r="D10" s="62"/>
      <x:c r="E10" s="62"/>
      <x:c r="F10" s="62"/>
      <x:c r="G10" s="62"/>
      <x:c r="H10" s="62"/>
      <x:c r="I10" s="62"/>
      <x:c r="J10" s="62"/>
      <x:c r="K10" s="62"/>
      <x:c r="L10" s="62"/>
      <x:c r="M10" s="62"/>
      <x:c r="N10" s="62"/>
      <x:c r="O10" s="62"/>
      <x:c r="P10" s="62"/>
      <x:c r="Q10" s="62"/>
      <x:c r="R10" s="62"/>
    </x:row>
    <x:row r="11" ht="34" customHeight="1">
      <x:c r="A11" s="71" t="str">
        <x:v>Finding ID</x:v>
      </x:c>
      <x:c r="B11" s="71" t="str">
        <x:v>Access record(s)</x:v>
      </x:c>
      <x:c r="C11" s="71" t="str">
        <x:v>Finding</x:v>
      </x:c>
      <x:c r="D11" s="71" t="str">
        <x:v>Policy / control</x:v>
      </x:c>
      <x:c r="E11" s="71" t="str">
        <x:v>Likelihood</x:v>
      </x:c>
      <x:c r="F11" s="71" t="str">
        <x:v>Impact</x:v>
      </x:c>
      <x:c r="G11" s="71" t="str">
        <x:v>Risk score</x:v>
      </x:c>
      <x:c r="H11" s="71" t="str">
        <x:v>Rating</x:v>
      </x:c>
      <x:c r="I11" s="71" t="str">
        <x:v>Corrective action</x:v>
      </x:c>
      <x:c r="J11" s="71" t="str">
        <x:v>Owner</x:v>
      </x:c>
      <x:c r="K11" s="71" t="str">
        <x:v>Target date</x:v>
      </x:c>
      <x:c r="L11" s="71" t="str">
        <x:v>Evidence required</x:v>
      </x:c>
      <x:c r="M11" s="71" t="str">
        <x:v>Status</x:v>
      </x:c>
      <x:c r="N11" s="71" t="str">
        <x:v>Residual likelihood</x:v>
      </x:c>
      <x:c r="O11" s="71" t="str">
        <x:v>Residual impact</x:v>
      </x:c>
      <x:c r="P11" s="71" t="str">
        <x:v>Residual score</x:v>
      </x:c>
      <x:c r="Q11" s="71" t="str">
        <x:v>Residual rating</x:v>
      </x:c>
      <x:c r="R11" s="71" t="str">
        <x:v>Closure / acceptance rationale</x:v>
      </x:c>
    </x:row>
    <x:row r="12" ht="84" customHeight="1">
      <x:c r="A12" s="67" t="str">
        <x:v>ARF-01</x:v>
      </x:c>
      <x:c r="B12" s="67" t="str">
        <x:v>AR-012</x:v>
      </x:c>
      <x:c r="C12" s="67" t="str">
        <x:v>Terminated contractor retained AWS access after the contract ended.</x:v>
      </x:c>
      <x:c r="D12" s="67" t="str">
        <x:v>Policy 5; AC-2</x:v>
      </x:c>
      <x:c r="E12" s="67" t="n">
        <x:v>5</x:v>
      </x:c>
      <x:c r="F12" s="67" t="n">
        <x:v>5</x:v>
      </x:c>
      <x:c r="G12" s="67" t="n">
        <x:f>E12*F12</x:f>
        <x:v>25</x:v>
      </x:c>
      <x:c r="H12" s="67" t="str">
        <x:f>IF(G12&lt;=4,"Low",IF(G12&lt;=9,"Moderate",IF(G12&lt;=16,"High","Critical")))</x:f>
        <x:v>Critical</x:v>
      </x:c>
      <x:c r="I12" s="67" t="str">
        <x:v>Disable account, revoke sessions, investigate post-termination activity, and verify all accounts are removed.</x:v>
      </x:c>
      <x:c r="J12" s="67" t="str">
        <x:v>Cybersecurity / IT</x:v>
      </x:c>
      <x:c r="K12" s="69" t="n">
        <x:v>46296</x:v>
      </x:c>
      <x:c r="L12" s="67" t="str">
        <x:v>Disablement log, session revocation, activity review, completed offboarding ticket</x:v>
      </x:c>
      <x:c r="M12" s="67" t="str">
        <x:v>Open</x:v>
      </x:c>
      <x:c r="N12" s="67" t="n">
        <x:v>1</x:v>
      </x:c>
      <x:c r="O12" s="67" t="n">
        <x:v>5</x:v>
      </x:c>
      <x:c r="P12" s="67" t="n">
        <x:f>N12*O12</x:f>
        <x:v>5</x:v>
      </x:c>
      <x:c r="Q12" s="67" t="str">
        <x:f>IF(P12&lt;=4,"Low",IF(P12&lt;=9,"Moderate",IF(P12&lt;=16,"High","Critical")))</x:f>
        <x:v>Moderate</x:v>
      </x:c>
      <x:c r="R12" s="67" t="str">
        <x:v>Close only after removal and activity review are independently confirmed.</x:v>
      </x:c>
    </x:row>
    <x:row r="13" ht="84" customHeight="1">
      <x:c r="A13" s="67" t="str">
        <x:v>ARF-02</x:v>
      </x:c>
      <x:c r="B13" s="67" t="str">
        <x:v>AR-004; AR-005</x:v>
      </x:c>
      <x:c r="C13" s="67" t="str">
        <x:v>Developer retained broad production administration and direct customer-database access.</x:v>
      </x:c>
      <x:c r="D13" s="67" t="str">
        <x:v>Policy 7-8; AC-6</x:v>
      </x:c>
      <x:c r="E13" s="67" t="n">
        <x:v>4</x:v>
      </x:c>
      <x:c r="F13" s="67" t="n">
        <x:v>5</x:v>
      </x:c>
      <x:c r="G13" s="67" t="n">
        <x:f>E13*F13</x:f>
        <x:v>20</x:v>
      </x:c>
      <x:c r="H13" s="67" t="str">
        <x:f>IF(G13&lt;=4,"Low",IF(G13&lt;=9,"Moderate",IF(G13&lt;=16,"High","Critical")))</x:f>
        <x:v>Critical</x:v>
      </x:c>
      <x:c r="I13" s="67" t="str">
        <x:v>Replace AWS Administrator with deployment role and remove direct database access.</x:v>
      </x:c>
      <x:c r="J13" s="67" t="str">
        <x:v>Cloud Engineering</x:v>
      </x:c>
      <x:c r="K13" s="69" t="n">
        <x:v>46303</x:v>
      </x:c>
      <x:c r="L13" s="67" t="str">
        <x:v>Role-change ticket, permission export, manager and system-owner approval</x:v>
      </x:c>
      <x:c r="M13" s="67" t="str">
        <x:v>Open</x:v>
      </x:c>
      <x:c r="N13" s="67" t="n">
        <x:v>2</x:v>
      </x:c>
      <x:c r="O13" s="67" t="n">
        <x:v>5</x:v>
      </x:c>
      <x:c r="P13" s="67" t="n">
        <x:f>N13*O13</x:f>
        <x:v>10</x:v>
      </x:c>
      <x:c r="Q13" s="67" t="str">
        <x:f>IF(P13&lt;=4,"Low",IF(P13&lt;=9,"Moderate",IF(P13&lt;=16,"High","Critical")))</x:f>
        <x:v>High</x:v>
      </x:c>
      <x:c r="R13" s="67" t="str">
        <x:v>Residual risk depends on restricted deployment permissions and monitoring.</x:v>
      </x:c>
    </x:row>
    <x:row r="14" ht="84" customHeight="1">
      <x:c r="A14" s="67" t="str">
        <x:v>ARF-03</x:v>
      </x:c>
      <x:c r="B14" s="67" t="str">
        <x:v>AR-009; AR-010</x:v>
      </x:c>
      <x:c r="C14" s="67" t="str">
        <x:v>Support employee held administrator and direct database access beyond support duties.</x:v>
      </x:c>
      <x:c r="D14" s="67" t="str">
        <x:v>Policy 7-8; AC-6</x:v>
      </x:c>
      <x:c r="E14" s="67" t="n">
        <x:v>4</x:v>
      </x:c>
      <x:c r="F14" s="67" t="n">
        <x:v>5</x:v>
      </x:c>
      <x:c r="G14" s="67" t="n">
        <x:f>E14*F14</x:f>
        <x:v>20</x:v>
      </x:c>
      <x:c r="H14" s="67" t="str">
        <x:f>IF(G14&lt;=4,"Low",IF(G14&lt;=9,"Moderate",IF(G14&lt;=16,"High","Critical")))</x:f>
        <x:v>Critical</x:v>
      </x:c>
      <x:c r="I14" s="67" t="str">
        <x:v>Assign least-privilege support-agent role and remove direct database access.</x:v>
      </x:c>
      <x:c r="J14" s="67" t="str">
        <x:v>Support System Owner</x:v>
      </x:c>
      <x:c r="K14" s="69" t="n">
        <x:v>46300</x:v>
      </x:c>
      <x:c r="L14" s="67" t="str">
        <x:v>Updated role export and closure ticket</x:v>
      </x:c>
      <x:c r="M14" s="67" t="str">
        <x:v>In Progress</x:v>
      </x:c>
      <x:c r="N14" s="67" t="n">
        <x:v>2</x:v>
      </x:c>
      <x:c r="O14" s="67" t="n">
        <x:v>4</x:v>
      </x:c>
      <x:c r="P14" s="67" t="n">
        <x:f>N14*O14</x:f>
        <x:v>8</x:v>
      </x:c>
      <x:c r="Q14" s="67" t="str">
        <x:f>IF(P14&lt;=4,"Low",IF(P14&lt;=9,"Moderate",IF(P14&lt;=16,"High","Critical")))</x:f>
        <x:v>Moderate</x:v>
      </x:c>
      <x:c r="R14" s="67" t="str">
        <x:v>Retain audited customer lookup only through the approved support platform.</x:v>
      </x:c>
    </x:row>
    <x:row r="15" ht="84" customHeight="1">
      <x:c r="A15" s="67" t="str">
        <x:v>ARF-04</x:v>
      </x:c>
      <x:c r="B15" s="67" t="str">
        <x:v>AR-014</x:v>
      </x:c>
      <x:c r="C15" s="67" t="str">
        <x:v>Data analyst had direct production access rather than a governed analytics view.</x:v>
      </x:c>
      <x:c r="D15" s="67" t="str">
        <x:v>Policy 7-8; PR.AA-05</x:v>
      </x:c>
      <x:c r="E15" s="67" t="n">
        <x:v>3</x:v>
      </x:c>
      <x:c r="F15" s="67" t="n">
        <x:v>5</x:v>
      </x:c>
      <x:c r="G15" s="67" t="n">
        <x:f>E15*F15</x:f>
        <x:v>15</x:v>
      </x:c>
      <x:c r="H15" s="67" t="str">
        <x:f>IF(G15&lt;=4,"Low",IF(G15&lt;=9,"Moderate",IF(G15&lt;=16,"High","Critical")))</x:f>
        <x:v>High</x:v>
      </x:c>
      <x:c r="I15" s="67" t="str">
        <x:v>Create de-identified analytics view and remove raw production access.</x:v>
      </x:c>
      <x:c r="J15" s="67" t="str">
        <x:v>Data Owner</x:v>
      </x:c>
      <x:c r="K15" s="69" t="n">
        <x:v>46310</x:v>
      </x:c>
      <x:c r="L15" s="67" t="str">
        <x:v>View specification, data-owner approval, updated permission export</x:v>
      </x:c>
      <x:c r="M15" s="67" t="str">
        <x:v>Open</x:v>
      </x:c>
      <x:c r="N15" s="67" t="n">
        <x:v>2</x:v>
      </x:c>
      <x:c r="O15" s="67" t="n">
        <x:v>4</x:v>
      </x:c>
      <x:c r="P15" s="67" t="n">
        <x:f>N15*O15</x:f>
        <x:v>8</x:v>
      </x:c>
      <x:c r="Q15" s="67" t="str">
        <x:f>IF(P15&lt;=4,"Low",IF(P15&lt;=9,"Moderate",IF(P15&lt;=16,"High","Critical")))</x:f>
        <x:v>Moderate</x:v>
      </x:c>
      <x:c r="R15" s="67" t="str">
        <x:v>Accept only approved fields and logged access.</x:v>
      </x:c>
    </x:row>
    <x:row r="16" ht="84" customHeight="1">
      <x:c r="A16" s="67" t="str">
        <x:v>ARF-05</x:v>
      </x:c>
      <x:c r="B16" s="67" t="str">
        <x:v>AR-015</x:v>
      </x:c>
      <x:c r="C16" s="67" t="str">
        <x:v>Finance user retained Payment Portal administrator privileges not required for routine duties.</x:v>
      </x:c>
      <x:c r="D16" s="67" t="str">
        <x:v>Policy 7-8; AC-6</x:v>
      </x:c>
      <x:c r="E16" s="67" t="n">
        <x:v>3</x:v>
      </x:c>
      <x:c r="F16" s="67" t="n">
        <x:v>4</x:v>
      </x:c>
      <x:c r="G16" s="67" t="n">
        <x:f>E16*F16</x:f>
        <x:v>12</x:v>
      </x:c>
      <x:c r="H16" s="67" t="str">
        <x:f>IF(G16&lt;=4,"Low",IF(G16&lt;=9,"Moderate",IF(G16&lt;=16,"High","Critical")))</x:f>
        <x:v>High</x:v>
      </x:c>
      <x:c r="I16" s="67" t="str">
        <x:v>Replace administrator with finance-analyst role and validate refund permissions.</x:v>
      </x:c>
      <x:c r="J16" s="67" t="str">
        <x:v>Finance System Owner</x:v>
      </x:c>
      <x:c r="K16" s="69" t="n">
        <x:v>46305</x:v>
      </x:c>
      <x:c r="L16" s="67" t="str">
        <x:v>Role update, transaction-permission review, approval</x:v>
      </x:c>
      <x:c r="M16" s="67" t="str">
        <x:v>Open</x:v>
      </x:c>
      <x:c r="N16" s="67" t="n">
        <x:v>2</x:v>
      </x:c>
      <x:c r="O16" s="67" t="n">
        <x:v>3</x:v>
      </x:c>
      <x:c r="P16" s="67" t="n">
        <x:f>N16*O16</x:f>
        <x:v>6</x:v>
      </x:c>
      <x:c r="Q16" s="67" t="str">
        <x:f>IF(P16&lt;=4,"Low",IF(P16&lt;=9,"Moderate",IF(P16&lt;=16,"High","Critical")))</x:f>
        <x:v>Moderate</x:v>
      </x:c>
      <x:c r="R16" s="67" t="str">
        <x:v>Residual access must exclude configuration and user administration.</x:v>
      </x:c>
    </x:row>
    <x:row r="17" ht="84" customHeight="1">
      <x:c r="A17" s="67" t="str">
        <x:v>ARF-06</x:v>
      </x:c>
      <x:c r="B17" s="67" t="str">
        <x:v>AR-019</x:v>
      </x:c>
      <x:c r="C17" s="67" t="str">
        <x:v>Vendor repository access had no documented expiration or completed sponsor attestation.</x:v>
      </x:c>
      <x:c r="D17" s="67" t="str">
        <x:v>Policy 9 and 11; AC-2</x:v>
      </x:c>
      <x:c r="E17" s="67" t="n">
        <x:v>3</x:v>
      </x:c>
      <x:c r="F17" s="67" t="n">
        <x:v>4</x:v>
      </x:c>
      <x:c r="G17" s="67" t="n">
        <x:f>E17*F17</x:f>
        <x:v>12</x:v>
      </x:c>
      <x:c r="H17" s="67" t="str">
        <x:f>IF(G17&lt;=4,"Low",IF(G17&lt;=9,"Moderate",IF(G17&lt;=16,"High","Critical")))</x:f>
        <x:v>High</x:v>
      </x:c>
      <x:c r="I17" s="67" t="str">
        <x:v>Record sponsor, scope, expiration, and quarterly review requirement.</x:v>
      </x:c>
      <x:c r="J17" s="67" t="str">
        <x:v>Product Management</x:v>
      </x:c>
      <x:c r="K17" s="69" t="n">
        <x:v>46300</x:v>
      </x:c>
      <x:c r="L17" s="67" t="str">
        <x:v>Sponsor approval, repository scope, expiration setting</x:v>
      </x:c>
      <x:c r="M17" s="67" t="str">
        <x:v>Open</x:v>
      </x:c>
      <x:c r="N17" s="67" t="n">
        <x:v>2</x:v>
      </x:c>
      <x:c r="O17" s="67" t="n">
        <x:v>3</x:v>
      </x:c>
      <x:c r="P17" s="67" t="n">
        <x:f>N17*O17</x:f>
        <x:v>6</x:v>
      </x:c>
      <x:c r="Q17" s="67" t="str">
        <x:f>IF(P17&lt;=4,"Low",IF(P17&lt;=9,"Moderate",IF(P17&lt;=16,"High","Critical")))</x:f>
        <x:v>Moderate</x:v>
      </x:c>
      <x:c r="R17" s="67" t="str">
        <x:v>Access may continue only while time-bound and limited to required repositories.</x:v>
      </x:c>
    </x:row>
    <x:row r="18" ht="84" customHeight="1">
      <x:c r="A18" s="67" t="str">
        <x:v>ARF-07</x:v>
      </x:c>
      <x:c r="B18" s="67" t="str">
        <x:v>AR-020</x:v>
      </x:c>
      <x:c r="C18" s="67" t="str">
        <x:v>Privileged wearable API service account did not have a documented owner.</x:v>
      </x:c>
      <x:c r="D18" s="67" t="str">
        <x:v>Policy 10-11; AC-2</x:v>
      </x:c>
      <x:c r="E18" s="67" t="n">
        <x:v>4</x:v>
      </x:c>
      <x:c r="F18" s="67" t="n">
        <x:v>5</x:v>
      </x:c>
      <x:c r="G18" s="67" t="n">
        <x:f>E18*F18</x:f>
        <x:v>20</x:v>
      </x:c>
      <x:c r="H18" s="67" t="str">
        <x:f>IF(G18&lt;=4,"Low",IF(G18&lt;=9,"Moderate",IF(G18&lt;=16,"High","Critical")))</x:f>
        <x:v>Critical</x:v>
      </x:c>
      <x:c r="I18" s="67" t="str">
        <x:v>Assign owner, document purpose and permissions, rotate credential, and set review date.</x:v>
      </x:c>
      <x:c r="J18" s="67" t="str">
        <x:v>Software Development</x:v>
      </x:c>
      <x:c r="K18" s="69" t="n">
        <x:v>46303</x:v>
      </x:c>
      <x:c r="L18" s="67" t="str">
        <x:v>Ownership record, permission review, rotation log, monitoring evidence</x:v>
      </x:c>
      <x:c r="M18" s="67" t="str">
        <x:v>Open</x:v>
      </x:c>
      <x:c r="N18" s="67" t="n">
        <x:v>2</x:v>
      </x:c>
      <x:c r="O18" s="67" t="n">
        <x:v>5</x:v>
      </x:c>
      <x:c r="P18" s="67" t="n">
        <x:f>N18*O18</x:f>
        <x:v>10</x:v>
      </x:c>
      <x:c r="Q18" s="67" t="str">
        <x:f>IF(P18&lt;=4,"Low",IF(P18&lt;=9,"Moderate",IF(P18&lt;=16,"High","Critical")))</x:f>
        <x:v>High</x:v>
      </x:c>
      <x:c r="R18" s="67" t="str">
        <x:v>Close only after accountability and credential controls are verified.</x:v>
      </x:c>
    </x:row>
    <x:row r="19" ht="84" customHeight="1">
      <x:c r="A19" s="67" t="str">
        <x:v>ARF-08</x:v>
      </x:c>
      <x:c r="B19" s="67" t="str">
        <x:v>AR-021</x:v>
      </x:c>
      <x:c r="C19" s="67" t="str">
        <x:v>Employee retained Support access after transferring to Marketing.</x:v>
      </x:c>
      <x:c r="D19" s="67" t="str">
        <x:v>Policy 5 and 11; AC-2</x:v>
      </x:c>
      <x:c r="E19" s="67" t="n">
        <x:v>3</x:v>
      </x:c>
      <x:c r="F19" s="67" t="n">
        <x:v>4</x:v>
      </x:c>
      <x:c r="G19" s="67" t="n">
        <x:f>E19*F19</x:f>
        <x:v>12</x:v>
      </x:c>
      <x:c r="H19" s="67" t="str">
        <x:f>IF(G19&lt;=4,"Low",IF(G19&lt;=9,"Moderate",IF(G19&lt;=16,"High","Critical")))</x:f>
        <x:v>High</x:v>
      </x:c>
      <x:c r="I19" s="67" t="str">
        <x:v>Remove former support role and search for other inherited permissions.</x:v>
      </x:c>
      <x:c r="J19" s="67" t="str">
        <x:v>Support System Owner</x:v>
      </x:c>
      <x:c r="K19" s="69" t="n">
        <x:v>46298</x:v>
      </x:c>
      <x:c r="L19" s="67" t="str">
        <x:v>Removal log, mover checklist, access revalidation</x:v>
      </x:c>
      <x:c r="M19" s="67" t="str">
        <x:v>Open</x:v>
      </x:c>
      <x:c r="N19" s="67" t="n">
        <x:v>1</x:v>
      </x:c>
      <x:c r="O19" s="67" t="n">
        <x:v>4</x:v>
      </x:c>
      <x:c r="P19" s="67" t="n">
        <x:f>N19*O19</x:f>
        <x:v>4</x:v>
      </x:c>
      <x:c r="Q19" s="67" t="str">
        <x:f>IF(P19&lt;=4,"Low",IF(P19&lt;=9,"Moderate",IF(P19&lt;=16,"High","Critical")))</x:f>
        <x:v>Low</x:v>
      </x:c>
      <x:c r="R19" s="67" t="str">
        <x:v>Update mover process if the same gap appears elsewhere.</x:v>
      </x:c>
    </x:row>
  </x:sheetData>
  <x:mergeCells>
    <x:mergeCell ref="A1:R1"/>
    <x:mergeCell ref="A2:R2"/>
    <x:mergeCell ref="A4:R4"/>
  </x:mergeCells>
  <x:conditionalFormatting sqref="H12:H19">
    <x:cfRule type="containsText" dxfId="5" priority="1" operator="containsText" text="Critical"/>
    <x:cfRule type="containsText" dxfId="6" priority="2" operator="containsText" text="High"/>
    <x:cfRule type="containsText" dxfId="7" priority="3" operator="containsText" text="Moderate"/>
    <x:cfRule type="containsText" dxfId="8" priority="4" operator="containsText" text="Low"/>
  </x:conditionalFormatting>
  <x:conditionalFormatting sqref="Q12:Q19">
    <x:cfRule type="containsText" dxfId="9" priority="5" operator="containsText" text="Critical"/>
    <x:cfRule type="containsText" dxfId="10" priority="6" operator="containsText" text="High"/>
    <x:cfRule type="containsText" dxfId="11" priority="7" operator="containsText" text="Moderate"/>
    <x:cfRule type="containsText" dxfId="12" priority="8" operator="containsText" text="Low"/>
  </x:conditionalFormatting>
  <x:dataValidations count="3">
    <x:dataValidation type="whole" operator="between" sqref="E12:F19">
      <x:formula1>1</x:formula1>
      <x:formula2>5</x:formula2>
    </x:dataValidation>
    <x:dataValidation type="whole" operator="between" sqref="N12:O19">
      <x:formula1>1</x:formula1>
      <x:formula2>5</x:formula2>
    </x:dataValidation>
    <x:dataValidation type="list" sqref="M12:M19">
      <x:formula1>"Open,In Progress,Closed,Accepted"</x:formula1>
    </x:dataValidation>
  </x:dataValidations>
  <x:pageMargins left="0.7" right="0.7" top="0.75" bottom="0.75" header="0.3" footer="0.3"/>
  <x:tableParts count="1">
    <x:tablePart xmlns:r="http://schemas.openxmlformats.org/officeDocument/2006/relationships" r:id="R60e018e3cc594ba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24" hidden="0" customWidth="1"/>
    <x:col min="4" max="4" width="16" hidden="0" customWidth="1"/>
    <x:col min="5" max="5" width="32" hidden="0" customWidth="1"/>
    <x:col min="6" max="6" width="30" hidden="0" customWidth="1"/>
    <x:col min="7" max="7" width="14" hidden="0" customWidth="1"/>
    <x:col min="8" max="8" width="18" hidden="0" customWidth="1"/>
    <x:col min="9" max="9" width="34" hidden="0" customWidth="1"/>
    <x:col min="10" max="10" width="30" hidden="0" customWidth="1"/>
    <x:col min="11" max="11" width="14" hidden="0" customWidth="1"/>
  </x:cols>
  <x:sheetData>
    <x:row r="1" ht="34" customHeight="1">
      <x:c r="A1" s="60" t="str">
        <x:v>Access Review Evidence Log</x:v>
      </x:c>
      <x:c r="B1" s="60"/>
      <x:c r="C1" s="60"/>
      <x:c r="D1" s="60"/>
      <x:c r="E1" s="60"/>
      <x:c r="F1" s="60"/>
      <x:c r="G1" s="60"/>
      <x:c r="H1" s="60"/>
      <x:c r="I1" s="60"/>
      <x:c r="J1" s="60"/>
      <x:c r="K1" s="60"/>
    </x:row>
    <x:row r="2" ht="24" customHeight="1">
      <x:c r="A2" s="61" t="str">
        <x:v>Artifacts supporting population completeness, reviewer decisions, and remediation</x:v>
      </x:c>
      <x:c r="B2" s="61"/>
      <x:c r="C2" s="61"/>
      <x:c r="D2" s="61"/>
      <x:c r="E2" s="61"/>
      <x:c r="F2" s="61"/>
      <x:c r="G2" s="61"/>
      <x:c r="H2" s="61"/>
      <x:c r="I2" s="61"/>
      <x:c r="J2" s="61"/>
      <x:c r="K2" s="61"/>
    </x:row>
    <x:row r="3">
      <x:c r="A3" s="62"/>
      <x:c r="B3" s="62"/>
      <x:c r="C3" s="62"/>
      <x:c r="D3" s="62"/>
      <x:c r="E3" s="62"/>
      <x:c r="F3" s="62"/>
      <x:c r="G3" s="62"/>
      <x:c r="H3" s="62"/>
      <x:c r="I3" s="62"/>
      <x:c r="J3" s="62"/>
      <x:c r="K3" s="62"/>
    </x:row>
    <x:row r="4" ht="23" customHeight="1">
      <x:c r="A4" s="63" t="str">
        <x:v>Evidence inventory</x:v>
      </x:c>
      <x:c r="B4" s="64"/>
      <x:c r="C4" s="64"/>
      <x:c r="D4" s="64"/>
      <x:c r="E4" s="64"/>
      <x:c r="F4" s="64"/>
      <x:c r="G4" s="64"/>
      <x:c r="H4" s="64"/>
      <x:c r="I4" s="64"/>
      <x:c r="J4" s="64"/>
      <x:c r="K4" s="65"/>
    </x:row>
    <x:row r="5">
      <x:c r="A5" s="62"/>
      <x:c r="B5" s="62"/>
      <x:c r="C5" s="62"/>
      <x:c r="D5" s="62"/>
      <x:c r="E5" s="62"/>
      <x:c r="F5" s="62"/>
      <x:c r="G5" s="62"/>
      <x:c r="H5" s="62"/>
      <x:c r="I5" s="62"/>
      <x:c r="J5" s="62"/>
      <x:c r="K5" s="62"/>
    </x:row>
    <x:row r="6" ht="34" customHeight="1">
      <x:c r="A6" s="71" t="str">
        <x:v>Evidence ID</x:v>
      </x:c>
      <x:c r="B6" s="71" t="str">
        <x:v>Artifact</x:v>
      </x:c>
      <x:c r="C6" s="71" t="str">
        <x:v>Source / owner</x:v>
      </x:c>
      <x:c r="D6" s="71" t="str">
        <x:v>Period</x:v>
      </x:c>
      <x:c r="E6" s="71" t="str">
        <x:v>Purpose</x:v>
      </x:c>
      <x:c r="F6" s="71" t="str">
        <x:v>Related records</x:v>
      </x:c>
      <x:c r="G6" s="71" t="str">
        <x:v>Collected date</x:v>
      </x:c>
      <x:c r="H6" s="71" t="str">
        <x:v>Reviewer</x:v>
      </x:c>
      <x:c r="I6" s="71" t="str">
        <x:v>Result</x:v>
      </x:c>
      <x:c r="J6" s="71" t="str">
        <x:v>Retention location</x:v>
      </x:c>
      <x:c r="K6" s="71" t="str">
        <x:v>Status</x:v>
      </x:c>
    </x:row>
    <x:row r="7" ht="62" customHeight="1">
      <x:c r="A7" s="67" t="str">
        <x:v>EVD-01</x:v>
      </x:c>
      <x:c r="B7" s="67" t="str">
        <x:v>HR active and terminated worker roster</x:v>
      </x:c>
      <x:c r="C7" s="67" t="str">
        <x:v>Human Resources</x:v>
      </x:c>
      <x:c r="D7" s="67" t="str">
        <x:v>2026 Q4</x:v>
      </x:c>
      <x:c r="E7" s="67" t="str">
        <x:v>Validate population and employment status</x:v>
      </x:c>
      <x:c r="F7" s="67" t="str">
        <x:v>All workforce records</x:v>
      </x:c>
      <x:c r="G7" s="69" t="n">
        <x:v>46296</x:v>
      </x:c>
      <x:c r="H7" s="67" t="str">
        <x:v>GRC Analyst</x:v>
      </x:c>
      <x:c r="I7" s="67" t="str">
        <x:v>One terminated contractor identified</x:v>
      </x:c>
      <x:c r="J7" s="67" t="str">
        <x:v>Restricted GRC evidence folder</x:v>
      </x:c>
      <x:c r="K7" s="67" t="str">
        <x:v>Reviewed</x:v>
      </x:c>
    </x:row>
    <x:row r="8" ht="62" customHeight="1">
      <x:c r="A8" s="67" t="str">
        <x:v>EVD-02</x:v>
      </x:c>
      <x:c r="B8" s="67" t="str">
        <x:v>Contractor offboarding record - Ethan Clark</x:v>
      </x:c>
      <x:c r="C8" s="67" t="str">
        <x:v>HR / Vendor Management</x:v>
      </x:c>
      <x:c r="D8" s="67" t="str">
        <x:v>2026-09</x:v>
      </x:c>
      <x:c r="E8" s="67" t="str">
        <x:v>Validate end date and required disablement</x:v>
      </x:c>
      <x:c r="F8" s="67" t="str">
        <x:v>AR-012</x:v>
      </x:c>
      <x:c r="G8" s="69" t="n">
        <x:v>46296</x:v>
      </x:c>
      <x:c r="H8" s="67" t="str">
        <x:v>GRC Analyst</x:v>
      </x:c>
      <x:c r="I8" s="67" t="str">
        <x:v>Offboarding incomplete</x:v>
      </x:c>
      <x:c r="J8" s="67" t="str">
        <x:v>Restricted GRC evidence folder</x:v>
      </x:c>
      <x:c r="K8" s="67" t="str">
        <x:v>Exception</x:v>
      </x:c>
    </x:row>
    <x:row r="9" ht="62" customHeight="1">
      <x:c r="A9" s="67" t="str">
        <x:v>EVD-03</x:v>
      </x:c>
      <x:c r="B9" s="67" t="str">
        <x:v>Microsoft 365 user and role export</x:v>
      </x:c>
      <x:c r="C9" s="67" t="str">
        <x:v>Information Technology</x:v>
      </x:c>
      <x:c r="D9" s="67" t="str">
        <x:v>2026-10-01</x:v>
      </x:c>
      <x:c r="E9" s="67" t="str">
        <x:v>Validate accounts, roles, MFA, and administrators</x:v>
      </x:c>
      <x:c r="F9" s="67" t="str">
        <x:v>AR-001; 006; 011; 016; 022; 023; 028</x:v>
      </x:c>
      <x:c r="G9" s="69" t="n">
        <x:v>46296</x:v>
      </x:c>
      <x:c r="H9" s="67" t="str">
        <x:v>GRC Analyst</x:v>
      </x:c>
      <x:c r="I9" s="67" t="str">
        <x:v>Reviewed; no additional exceptions</x:v>
      </x:c>
      <x:c r="J9" s="67" t="str">
        <x:v>Restricted GRC evidence folder</x:v>
      </x:c>
      <x:c r="K9" s="67" t="str">
        <x:v>Reviewed</x:v>
      </x:c>
    </x:row>
    <x:row r="10" ht="62" customHeight="1">
      <x:c r="A10" s="67" t="str">
        <x:v>EVD-04</x:v>
      </x:c>
      <x:c r="B10" s="67" t="str">
        <x:v>GitHub organization and repository access export</x:v>
      </x:c>
      <x:c r="C10" s="67" t="str">
        <x:v>Software Development</x:v>
      </x:c>
      <x:c r="D10" s="67" t="str">
        <x:v>2026-10-01</x:v>
      </x:c>
      <x:c r="E10" s="67" t="str">
        <x:v>Validate employee, temporary, and vendor repository access</x:v>
      </x:c>
      <x:c r="F10" s="67" t="str">
        <x:v>AR-003; 019; 025</x:v>
      </x:c>
      <x:c r="G10" s="69" t="n">
        <x:v>46296</x:v>
      </x:c>
      <x:c r="H10" s="67" t="str">
        <x:v>GRC Analyst</x:v>
      </x:c>
      <x:c r="I10" s="67" t="str">
        <x:v>Vendor expiration missing</x:v>
      </x:c>
      <x:c r="J10" s="67" t="str">
        <x:v>Restricted GRC evidence folder</x:v>
      </x:c>
      <x:c r="K10" s="67" t="str">
        <x:v>Exception</x:v>
      </x:c>
    </x:row>
    <x:row r="11" ht="62" customHeight="1">
      <x:c r="A11" s="67" t="str">
        <x:v>EVD-05</x:v>
      </x:c>
      <x:c r="B11" s="67" t="str">
        <x:v>AWS IAM users, roles, and last-access report</x:v>
      </x:c>
      <x:c r="C11" s="67" t="str">
        <x:v>Cloud Engineering</x:v>
      </x:c>
      <x:c r="D11" s="67" t="str">
        <x:v>2026-10-01</x:v>
      </x:c>
      <x:c r="E11" s="67" t="str">
        <x:v>Review production and privileged cloud access</x:v>
      </x:c>
      <x:c r="F11" s="67" t="str">
        <x:v>AR-004; 008; 012; 018; 020; 024</x:v>
      </x:c>
      <x:c r="G11" s="69" t="n">
        <x:v>46296</x:v>
      </x:c>
      <x:c r="H11" s="67" t="str">
        <x:v>GRC Analyst</x:v>
      </x:c>
      <x:c r="I11" s="67" t="str">
        <x:v>Four exceptions identified</x:v>
      </x:c>
      <x:c r="J11" s="67" t="str">
        <x:v>Restricted GRC evidence folder</x:v>
      </x:c>
      <x:c r="K11" s="67" t="str">
        <x:v>Exception</x:v>
      </x:c>
    </x:row>
    <x:row r="12" ht="62" customHeight="1">
      <x:c r="A12" s="67" t="str">
        <x:v>EVD-06</x:v>
      </x:c>
      <x:c r="B12" s="67" t="str">
        <x:v>Customer database permission export</x:v>
      </x:c>
      <x:c r="C12" s="67" t="str">
        <x:v>Database Owner</x:v>
      </x:c>
      <x:c r="D12" s="67" t="str">
        <x:v>2026-10-01</x:v>
      </x:c>
      <x:c r="E12" s="67" t="str">
        <x:v>Validate direct access to Restricted customer information</x:v>
      </x:c>
      <x:c r="F12" s="67" t="str">
        <x:v>AR-005; 010; 014</x:v>
      </x:c>
      <x:c r="G12" s="69" t="n">
        <x:v>46296</x:v>
      </x:c>
      <x:c r="H12" s="67" t="str">
        <x:v>GRC Analyst</x:v>
      </x:c>
      <x:c r="I12" s="67" t="str">
        <x:v>All three records require removal or redesign</x:v>
      </x:c>
      <x:c r="J12" s="67" t="str">
        <x:v>Restricted GRC evidence folder</x:v>
      </x:c>
      <x:c r="K12" s="67" t="str">
        <x:v>Exception</x:v>
      </x:c>
    </x:row>
    <x:row r="13" ht="62" customHeight="1">
      <x:c r="A13" s="67" t="str">
        <x:v>EVD-07</x:v>
      </x:c>
      <x:c r="B13" s="67" t="str">
        <x:v>Security monitoring role export</x:v>
      </x:c>
      <x:c r="C13" s="67" t="str">
        <x:v>Cybersecurity</x:v>
      </x:c>
      <x:c r="D13" s="67" t="str">
        <x:v>2026-10-01</x:v>
      </x:c>
      <x:c r="E13" s="67" t="str">
        <x:v>Validate security administrator access</x:v>
      </x:c>
      <x:c r="F13" s="67" t="str">
        <x:v>AR-007</x:v>
      </x:c>
      <x:c r="G13" s="69" t="n">
        <x:v>46296</x:v>
      </x:c>
      <x:c r="H13" s="67" t="str">
        <x:v>GRC Analyst</x:v>
      </x:c>
      <x:c r="I13" s="67" t="str">
        <x:v>Access appropriate</x:v>
      </x:c>
      <x:c r="J13" s="67" t="str">
        <x:v>Restricted GRC evidence folder</x:v>
      </x:c>
      <x:c r="K13" s="67" t="str">
        <x:v>Reviewed</x:v>
      </x:c>
    </x:row>
    <x:row r="14" ht="62" customHeight="1">
      <x:c r="A14" s="67" t="str">
        <x:v>EVD-08</x:v>
      </x:c>
      <x:c r="B14" s="67" t="str">
        <x:v>Support Platform roles and activity export</x:v>
      </x:c>
      <x:c r="C14" s="67" t="str">
        <x:v>Support System Owner</x:v>
      </x:c>
      <x:c r="D14" s="67" t="str">
        <x:v>2026-10-01</x:v>
      </x:c>
      <x:c r="E14" s="67" t="str">
        <x:v>Validate customer-support roles and former-role access</x:v>
      </x:c>
      <x:c r="F14" s="67" t="str">
        <x:v>AR-009; 021; 027</x:v>
      </x:c>
      <x:c r="G14" s="69" t="n">
        <x:v>46296</x:v>
      </x:c>
      <x:c r="H14" s="67" t="str">
        <x:v>GRC Analyst</x:v>
      </x:c>
      <x:c r="I14" s="67" t="str">
        <x:v>Two exceptions identified</x:v>
      </x:c>
      <x:c r="J14" s="67" t="str">
        <x:v>Restricted GRC evidence folder</x:v>
      </x:c>
      <x:c r="K14" s="67" t="str">
        <x:v>Exception</x:v>
      </x:c>
    </x:row>
    <x:row r="15" ht="62" customHeight="1">
      <x:c r="A15" s="67" t="str">
        <x:v>EVD-09</x:v>
      </x:c>
      <x:c r="B15" s="67" t="str">
        <x:v>Analytics workspace membership and data-flow list</x:v>
      </x:c>
      <x:c r="C15" s="67" t="str">
        <x:v>Data Owner</x:v>
      </x:c>
      <x:c r="D15" s="67" t="str">
        <x:v>2026-10-01</x:v>
      </x:c>
      <x:c r="E15" s="67" t="str">
        <x:v>Confirm governed analytics access</x:v>
      </x:c>
      <x:c r="F15" s="67" t="str">
        <x:v>AR-013; 014</x:v>
      </x:c>
      <x:c r="G15" s="69" t="n">
        <x:v>46296</x:v>
      </x:c>
      <x:c r="H15" s="67" t="str">
        <x:v>GRC Analyst</x:v>
      </x:c>
      <x:c r="I15" s="67" t="str">
        <x:v>Direct raw data access requires replacement</x:v>
      </x:c>
      <x:c r="J15" s="67" t="str">
        <x:v>Restricted GRC evidence folder</x:v>
      </x:c>
      <x:c r="K15" s="67" t="str">
        <x:v>Exception</x:v>
      </x:c>
    </x:row>
    <x:row r="16" ht="62" customHeight="1">
      <x:c r="A16" s="67" t="str">
        <x:v>EVD-10</x:v>
      </x:c>
      <x:c r="B16" s="67" t="str">
        <x:v>Payment Portal roles and transaction permissions</x:v>
      </x:c>
      <x:c r="C16" s="67" t="str">
        <x:v>Finance System Owner</x:v>
      </x:c>
      <x:c r="D16" s="67" t="str">
        <x:v>2026-10-01</x:v>
      </x:c>
      <x:c r="E16" s="67" t="str">
        <x:v>Validate segregation and administrative access</x:v>
      </x:c>
      <x:c r="F16" s="67" t="str">
        <x:v>AR-015</x:v>
      </x:c>
      <x:c r="G16" s="69" t="n">
        <x:v>46296</x:v>
      </x:c>
      <x:c r="H16" s="67" t="str">
        <x:v>GRC Analyst</x:v>
      </x:c>
      <x:c r="I16" s="67" t="str">
        <x:v>Administrator role excessive</x:v>
      </x:c>
      <x:c r="J16" s="67" t="str">
        <x:v>Restricted GRC evidence folder</x:v>
      </x:c>
      <x:c r="K16" s="67" t="str">
        <x:v>Exception</x:v>
      </x:c>
    </x:row>
    <x:row r="17" ht="62" customHeight="1">
      <x:c r="A17" s="67" t="str">
        <x:v>EVD-11</x:v>
      </x:c>
      <x:c r="B17" s="67" t="str">
        <x:v>Wearable API service-account configuration</x:v>
      </x:c>
      <x:c r="C17" s="67" t="str">
        <x:v>Software Development</x:v>
      </x:c>
      <x:c r="D17" s="67" t="str">
        <x:v>2026-10-01</x:v>
      </x:c>
      <x:c r="E17" s="67" t="str">
        <x:v>Validate owner, scope, permissions, credential rotation, and monitoring</x:v>
      </x:c>
      <x:c r="F17" s="67" t="str">
        <x:v>AR-020</x:v>
      </x:c>
      <x:c r="G17" s="69" t="n">
        <x:v>46296</x:v>
      </x:c>
      <x:c r="H17" s="67" t="str">
        <x:v>GRC Analyst</x:v>
      </x:c>
      <x:c r="I17" s="67" t="str">
        <x:v>Owner and review metadata missing</x:v>
      </x:c>
      <x:c r="J17" s="67" t="str">
        <x:v>Restricted GRC evidence folder</x:v>
      </x:c>
      <x:c r="K17" s="67" t="str">
        <x:v>Exception</x:v>
      </x:c>
    </x:row>
    <x:row r="18" ht="62" customHeight="1">
      <x:c r="A18" s="67" t="str">
        <x:v>EVD-12</x:v>
      </x:c>
      <x:c r="B18" s="67" t="str">
        <x:v>Privileged administrator approval record</x:v>
      </x:c>
      <x:c r="C18" s="67" t="str">
        <x:v>Executive Leadership</x:v>
      </x:c>
      <x:c r="D18" s="67" t="str">
        <x:v>2026 Q4</x:v>
      </x:c>
      <x:c r="E18" s="67" t="str">
        <x:v>Validate necessity and approval for IT administrators</x:v>
      </x:c>
      <x:c r="F18" s="67" t="str">
        <x:v>AR-023; 024</x:v>
      </x:c>
      <x:c r="G18" s="69" t="n">
        <x:v>46296</x:v>
      </x:c>
      <x:c r="H18" s="67" t="str">
        <x:v>GRC Analyst</x:v>
      </x:c>
      <x:c r="I18" s="67" t="str">
        <x:v>Approved with monitoring and separate-account conditions</x:v>
      </x:c>
      <x:c r="J18" s="67" t="str">
        <x:v>Restricted GRC evidence folder</x:v>
      </x:c>
      <x:c r="K18" s="67" t="str">
        <x:v>Reviewed</x:v>
      </x:c>
    </x:row>
    <x:row r="19" ht="62" customHeight="1">
      <x:c r="A19" s="67" t="str">
        <x:v>EVD-13</x:v>
      </x:c>
      <x:c r="B19" s="67" t="str">
        <x:v>Temporary QA access request and expiration</x:v>
      </x:c>
      <x:c r="C19" s="67" t="str">
        <x:v>Software Development</x:v>
      </x:c>
      <x:c r="D19" s="67" t="str">
        <x:v>Through 2026-10-15</x:v>
      </x:c>
      <x:c r="E19" s="67" t="str">
        <x:v>Validate time-bound testing access</x:v>
      </x:c>
      <x:c r="F19" s="67" t="str">
        <x:v>AR-025; 026</x:v>
      </x:c>
      <x:c r="G19" s="69" t="n">
        <x:v>46296</x:v>
      </x:c>
      <x:c r="H19" s="67" t="str">
        <x:v>GRC Analyst</x:v>
      </x:c>
      <x:c r="I19" s="67" t="str">
        <x:v>Expiration scheduled</x:v>
      </x:c>
      <x:c r="J19" s="67" t="str">
        <x:v>Restricted GRC evidence folder</x:v>
      </x:c>
      <x:c r="K19" s="67" t="str">
        <x:v>Reviewed</x:v>
      </x:c>
    </x:row>
  </x:sheetData>
  <x:mergeCells>
    <x:mergeCell ref="A1:K1"/>
    <x:mergeCell ref="A2:K2"/>
    <x:mergeCell ref="A4:K4"/>
  </x:mergeCells>
  <x:conditionalFormatting sqref="K7:K19">
    <x:cfRule type="containsText" dxfId="13" priority="1" operator="containsText" text="Reviewed"/>
    <x:cfRule type="containsText" dxfId="14" priority="2" operator="containsText" text="Exception"/>
  </x:conditionalFormatting>
  <x:dataValidations count="1">
    <x:dataValidation type="list" sqref="K7:K19">
      <x:formula1>"Collected,Reviewed,Exception,Superseded"</x:formula1>
    </x:dataValidation>
  </x:dataValidations>
  <x:pageMargins left="0.7" right="0.7" top="0.75" bottom="0.75" header="0.3" footer="0.3"/>
  <x:tableParts count="1">
    <x:tablePart xmlns:r="http://schemas.openxmlformats.org/officeDocument/2006/relationships" r:id="R13bb6d1ac141407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90" hidden="0" customWidth="1"/>
    <x:col min="3" max="3" width="48" hidden="0" customWidth="1"/>
  </x:cols>
  <x:sheetData>
    <x:row r="1" ht="28" customHeight="1">
      <x:c r="A1" s="166" t="str">
        <x:v>Access Review Methodology</x:v>
      </x:c>
      <x:c r="B1" s="166" t="str">
        <x:v>Access Review Methodology</x:v>
      </x:c>
      <x:c r="C1" s="166" t="str">
        <x:v>Access Review Methodology</x:v>
      </x:c>
      <x:c r="D1" s="60"/>
      <x:c r="E1" s="60"/>
      <x:c r="F1" s="60"/>
      <x:c r="G1" s="60"/>
      <x:c r="H1" s="60"/>
    </x:row>
    <x:row r="2" ht="22" customHeight="1">
      <x:c r="A2" s="167" t="str">
        <x:v>Review steps, evidence requirements, and key terms</x:v>
      </x:c>
      <x:c r="B2" s="167" t="str">
        <x:v>Review steps, evidence requirements, and key terms</x:v>
      </x:c>
      <x:c r="C2" s="167" t="str">
        <x:v>Review steps, evidence requirements, and key terms</x:v>
      </x:c>
      <x:c r="D2" s="61"/>
      <x:c r="E2" s="61"/>
      <x:c r="F2" s="61"/>
      <x:c r="G2" s="61"/>
      <x:c r="H2" s="61"/>
    </x:row>
    <x:row r="3">
      <x:c r="A3" s="62"/>
      <x:c r="B3" s="62"/>
      <x:c r="C3" s="62"/>
      <x:c r="D3" s="62"/>
      <x:c r="E3" s="62"/>
      <x:c r="F3" s="62"/>
      <x:c r="G3" s="62"/>
      <x:c r="H3" s="62"/>
    </x:row>
    <x:row r="4" ht="23" customHeight="1">
      <x:c r="A4" s="63" t="str">
        <x:v>Why access reviews matter</x:v>
      </x:c>
      <x:c r="B4" s="64"/>
      <x:c r="C4" s="64"/>
      <x:c r="D4" s="64"/>
      <x:c r="E4" s="64"/>
      <x:c r="F4" s="64"/>
      <x:c r="G4" s="64"/>
      <x:c r="H4" s="65"/>
    </x:row>
    <x:row r="5">
      <x:c r="A5" s="72" t="str">
        <x:v>Access reviews verify that every account still belongs to an authorized person or service, supports a current business need, and has no more privilege than necessary. The review also produces audit evidence showing who made the decision, what exception was found, how it was corrected, and who confirmed closure.</x:v>
      </x:c>
      <x:c r="B5" s="73"/>
      <x:c r="C5" s="73"/>
      <x:c r="D5" s="73"/>
      <x:c r="E5" s="73"/>
      <x:c r="F5" s="73"/>
      <x:c r="G5" s="73"/>
      <x:c r="H5" s="74"/>
    </x:row>
    <x:row r="6">
      <x:c r="A6" s="75"/>
      <x:c r="B6" s="76"/>
      <x:c r="C6" s="76"/>
      <x:c r="D6" s="76"/>
      <x:c r="E6" s="76"/>
      <x:c r="F6" s="76"/>
      <x:c r="G6" s="76"/>
      <x:c r="H6" s="77"/>
    </x:row>
    <x:row r="7">
      <x:c r="A7" s="75"/>
      <x:c r="B7" s="76"/>
      <x:c r="C7" s="76"/>
      <x:c r="D7" s="76"/>
      <x:c r="E7" s="76"/>
      <x:c r="F7" s="76"/>
      <x:c r="G7" s="76"/>
      <x:c r="H7" s="77"/>
    </x:row>
    <x:row r="8">
      <x:c r="A8" s="78"/>
      <x:c r="B8" s="79"/>
      <x:c r="C8" s="79"/>
      <x:c r="D8" s="79"/>
      <x:c r="E8" s="79"/>
      <x:c r="F8" s="79"/>
      <x:c r="G8" s="79"/>
      <x:c r="H8" s="80"/>
    </x:row>
    <x:row r="9">
      <x:c r="A9" s="62"/>
      <x:c r="B9" s="62"/>
      <x:c r="C9" s="62"/>
      <x:c r="D9" s="62"/>
      <x:c r="E9" s="62"/>
      <x:c r="F9" s="62"/>
      <x:c r="G9" s="62"/>
      <x:c r="H9" s="62"/>
    </x:row>
    <x:row r="10" ht="23" customHeight="1">
      <x:c r="A10" s="63" t="str">
        <x:v>Review sequence</x:v>
      </x:c>
      <x:c r="B10" s="64"/>
      <x:c r="C10" s="64"/>
      <x:c r="D10" s="64"/>
      <x:c r="E10" s="64"/>
      <x:c r="F10" s="64"/>
      <x:c r="G10" s="64"/>
      <x:c r="H10" s="65"/>
    </x:row>
    <x:row r="11" ht="34" customHeight="1">
      <x:c r="A11" s="71" t="str">
        <x:v>Step</x:v>
      </x:c>
      <x:c r="B11" s="71" t="str">
        <x:v>Review action</x:v>
      </x:c>
      <x:c r="C11" s="71" t="str">
        <x:v>What it proves</x:v>
      </x:c>
      <x:c r="D11" s="62"/>
      <x:c r="E11" s="62"/>
      <x:c r="F11" s="62"/>
      <x:c r="G11" s="62"/>
      <x:c r="H11" s="62"/>
    </x:row>
    <x:row r="12" ht="48" customHeight="1">
      <x:c r="A12" s="67" t="n">
        <x:v>1</x:v>
      </x:c>
      <x:c r="B12" s="67" t="str">
        <x:v>Reconcile the account population to HR, contractor, vendor, and service-account records.</x:v>
      </x:c>
      <x:c r="C12" s="67" t="str">
        <x:v>The review population is complete.</x:v>
      </x:c>
      <x:c r="D12" s="62"/>
      <x:c r="E12" s="62"/>
      <x:c r="F12" s="62"/>
      <x:c r="G12" s="62"/>
      <x:c r="H12" s="62"/>
    </x:row>
    <x:row r="13" ht="48" customHeight="1">
      <x:c r="A13" s="67" t="n">
        <x:v>2</x:v>
      </x:c>
      <x:c r="B13" s="67" t="str">
        <x:v>Confirm manager, sponsor, system owner, employment status, and business need.</x:v>
      </x:c>
      <x:c r="C13" s="67" t="str">
        <x:v>Each access decision has accountability.</x:v>
      </x:c>
      <x:c r="D13" s="62"/>
      <x:c r="E13" s="62"/>
      <x:c r="F13" s="62"/>
      <x:c r="G13" s="62"/>
      <x:c r="H13" s="62"/>
    </x:row>
    <x:row r="14" ht="48" customHeight="1">
      <x:c r="A14" s="67" t="n">
        <x:v>3</x:v>
      </x:c>
      <x:c r="B14" s="67" t="str">
        <x:v>Compare role, privilege, and data access to current duties.</x:v>
      </x:c>
      <x:c r="C14" s="67" t="str">
        <x:v>Least privilege and need-to-know are evaluated.</x:v>
      </x:c>
      <x:c r="D14" s="62"/>
      <x:c r="E14" s="62"/>
      <x:c r="F14" s="62"/>
      <x:c r="G14" s="62"/>
      <x:c r="H14" s="62"/>
    </x:row>
    <x:row r="15" ht="48" customHeight="1">
      <x:c r="A15" s="67" t="n">
        <x:v>4</x:v>
      </x:c>
      <x:c r="B15" s="67" t="str">
        <x:v>Record Retain, Modify, Remove, or Escalate.</x:v>
      </x:c>
      <x:c r="C15" s="67" t="str">
        <x:v>The reviewer made an explicit decision.</x:v>
      </x:c>
      <x:c r="D15" s="62"/>
      <x:c r="E15" s="62"/>
      <x:c r="F15" s="62"/>
      <x:c r="G15" s="62"/>
      <x:c r="H15" s="62"/>
    </x:row>
    <x:row r="16" ht="48" customHeight="1">
      <x:c r="A16" s="67" t="n">
        <x:v>5</x:v>
      </x:c>
      <x:c r="B16" s="67" t="str">
        <x:v>Track exceptions with owners, dates, and required evidence.</x:v>
      </x:c>
      <x:c r="C16" s="67" t="str">
        <x:v>Weaknesses are remediated rather than merely noted.</x:v>
      </x:c>
      <x:c r="D16" s="62"/>
      <x:c r="E16" s="62"/>
      <x:c r="F16" s="62"/>
      <x:c r="G16" s="62"/>
      <x:c r="H16" s="62"/>
    </x:row>
    <x:row r="17" ht="48" customHeight="1">
      <x:c r="A17" s="67" t="n">
        <x:v>6</x:v>
      </x:c>
      <x:c r="B17" s="67" t="str">
        <x:v>Validate closure and retain the completed package.</x:v>
      </x:c>
      <x:c r="C17" s="67" t="str">
        <x:v>The organization can demonstrate operating effectiveness.</x:v>
      </x:c>
      <x:c r="D17" s="62"/>
      <x:c r="E17" s="62"/>
      <x:c r="F17" s="62"/>
      <x:c r="G17" s="62"/>
      <x:c r="H17" s="62"/>
    </x:row>
    <x:row r="18">
      <x:c r="A18" s="62"/>
      <x:c r="B18" s="62"/>
      <x:c r="C18" s="62"/>
      <x:c r="D18" s="62"/>
      <x:c r="E18" s="62"/>
      <x:c r="F18" s="62"/>
      <x:c r="G18" s="62"/>
      <x:c r="H18" s="62"/>
    </x:row>
    <x:row r="19" ht="23" customHeight="1">
      <x:c r="A19" s="63"/>
      <x:c r="B19" s="64"/>
      <x:c r="C19" s="64"/>
      <x:c r="D19" s="64"/>
      <x:c r="E19" s="64"/>
      <x:c r="F19" s="64"/>
      <x:c r="G19" s="64"/>
      <x:c r="H19" s="65"/>
    </x:row>
    <x:row r="20">
      <x:c r="A20" s="145"/>
      <x:c r="B20" s="146"/>
      <x:c r="C20" s="146"/>
      <x:c r="D20" s="146"/>
      <x:c r="E20" s="146"/>
      <x:c r="F20" s="146"/>
      <x:c r="G20" s="146"/>
      <x:c r="H20" s="147"/>
    </x:row>
    <x:row r="21">
      <x:c r="A21" s="148"/>
      <x:c r="B21" s="149"/>
      <x:c r="C21" s="149"/>
      <x:c r="D21" s="149"/>
      <x:c r="E21" s="149"/>
      <x:c r="F21" s="149"/>
      <x:c r="G21" s="149"/>
      <x:c r="H21" s="150"/>
    </x:row>
    <x:row r="22">
      <x:c r="A22" s="148"/>
      <x:c r="B22" s="149"/>
      <x:c r="C22" s="149"/>
      <x:c r="D22" s="149"/>
      <x:c r="E22" s="149"/>
      <x:c r="F22" s="149"/>
      <x:c r="G22" s="149"/>
      <x:c r="H22" s="150"/>
    </x:row>
    <x:row r="23">
      <x:c r="A23" s="148"/>
      <x:c r="B23" s="149"/>
      <x:c r="C23" s="149"/>
      <x:c r="D23" s="149"/>
      <x:c r="E23" s="149"/>
      <x:c r="F23" s="149"/>
      <x:c r="G23" s="149"/>
      <x:c r="H23" s="150"/>
    </x:row>
    <x:row r="24">
      <x:c r="A24" s="148"/>
      <x:c r="B24" s="149"/>
      <x:c r="C24" s="149"/>
      <x:c r="D24" s="149"/>
      <x:c r="E24" s="149"/>
      <x:c r="F24" s="149"/>
      <x:c r="G24" s="149"/>
      <x:c r="H24" s="150"/>
    </x:row>
    <x:row r="25">
      <x:c r="A25" s="151"/>
      <x:c r="B25" s="152"/>
      <x:c r="C25" s="152"/>
      <x:c r="D25" s="152"/>
      <x:c r="E25" s="152"/>
      <x:c r="F25" s="152"/>
      <x:c r="G25" s="152"/>
      <x:c r="H25" s="153"/>
    </x:row>
    <x:row r="26">
      <x:c r="A26" s="62"/>
      <x:c r="B26" s="62"/>
      <x:c r="C26" s="62"/>
      <x:c r="D26" s="62"/>
      <x:c r="E26" s="62"/>
      <x:c r="F26" s="62"/>
      <x:c r="G26" s="62"/>
      <x:c r="H26" s="62"/>
    </x:row>
    <x:row r="27" ht="23" customHeight="1">
      <x:c r="A27" s="63" t="str">
        <x:v>Terms to know</x:v>
      </x:c>
      <x:c r="B27" s="64"/>
      <x:c r="C27" s="64"/>
      <x:c r="D27" s="64"/>
      <x:c r="E27" s="64"/>
      <x:c r="F27" s="64"/>
      <x:c r="G27" s="64"/>
      <x:c r="H27" s="65"/>
    </x:row>
    <x:row r="28" ht="34" customHeight="1">
      <x:c r="A28" s="71" t="str">
        <x:v>Term</x:v>
      </x:c>
      <x:c r="B28" s="71" t="str">
        <x:v>Meaning</x:v>
      </x:c>
      <x:c r="C28" s="62"/>
      <x:c r="D28" s="62"/>
      <x:c r="E28" s="62"/>
      <x:c r="F28" s="62"/>
      <x:c r="G28" s="62"/>
      <x:c r="H28" s="62"/>
    </x:row>
    <x:row r="29" ht="42" customHeight="1">
      <x:c r="A29" s="67" t="str">
        <x:v>Access certification</x:v>
      </x:c>
      <x:c r="B29" s="67" t="str">
        <x:v>Formal confirmation that assigned access remains appropriate.</x:v>
      </x:c>
      <x:c r="C29" s="62"/>
      <x:c r="D29" s="62"/>
      <x:c r="E29" s="62"/>
      <x:c r="F29" s="62"/>
      <x:c r="G29" s="62"/>
      <x:c r="H29" s="62"/>
    </x:row>
    <x:row r="30" ht="42" customHeight="1">
      <x:c r="A30" s="67" t="str">
        <x:v>Least privilege</x:v>
      </x:c>
      <x:c r="B30" s="67" t="str">
        <x:v>Providing only the permissions needed to perform approved responsibilities.</x:v>
      </x:c>
      <x:c r="C30" s="62"/>
      <x:c r="D30" s="62"/>
      <x:c r="E30" s="62"/>
      <x:c r="F30" s="62"/>
      <x:c r="G30" s="62"/>
      <x:c r="H30" s="62"/>
    </x:row>
    <x:row r="31" ht="42" customHeight="1">
      <x:c r="A31" s="67" t="str">
        <x:v>Need to know</x:v>
      </x:c>
      <x:c r="B31" s="67" t="str">
        <x:v>Restricting information access to legitimate business requirements.</x:v>
      </x:c>
      <x:c r="C31" s="62"/>
      <x:c r="D31" s="62"/>
      <x:c r="E31" s="62"/>
      <x:c r="F31" s="62"/>
      <x:c r="G31" s="62"/>
      <x:c r="H31" s="62"/>
    </x:row>
    <x:row r="32" ht="42" customHeight="1">
      <x:c r="A32" s="67" t="str">
        <x:v>Joiner / mover / leaver</x:v>
      </x:c>
      <x:c r="B32" s="67" t="str">
        <x:v>Lifecycle controls for new hires, role changes, and departures.</x:v>
      </x:c>
      <x:c r="C32" s="62"/>
      <x:c r="D32" s="62"/>
      <x:c r="E32" s="62"/>
      <x:c r="F32" s="62"/>
      <x:c r="G32" s="62"/>
      <x:c r="H32" s="62"/>
    </x:row>
    <x:row r="33" ht="42" customHeight="1">
      <x:c r="A33" s="67" t="str">
        <x:v>Privileged access</x:v>
      </x:c>
      <x:c r="B33" s="67" t="str">
        <x:v>Powerful permissions that can administer systems, identities, configurations, or sensitive data.</x:v>
      </x:c>
      <x:c r="C33" s="62"/>
      <x:c r="D33" s="62"/>
      <x:c r="E33" s="62"/>
      <x:c r="F33" s="62"/>
      <x:c r="G33" s="62"/>
      <x:c r="H33" s="62"/>
    </x:row>
    <x:row r="34" ht="42" customHeight="1">
      <x:c r="A34" s="67" t="str">
        <x:v>Operating effectiveness</x:v>
      </x:c>
      <x:c r="B34" s="67" t="str">
        <x:v>Evidence that a control actually worked during the review period, not merely that a policy exists.</x:v>
      </x:c>
      <x:c r="C34" s="62"/>
      <x:c r="D34" s="62"/>
      <x:c r="E34" s="62"/>
      <x:c r="F34" s="62"/>
      <x:c r="G34" s="62"/>
      <x:c r="H34" s="62"/>
    </x:row>
    <x:row r="35">
      <x:c r="A35" s="62"/>
      <x:c r="B35" s="62"/>
      <x:c r="C35" s="62"/>
      <x:c r="D35" s="62"/>
      <x:c r="E35" s="62"/>
      <x:c r="F35" s="62"/>
      <x:c r="G35" s="62"/>
      <x:c r="H35" s="62"/>
    </x:row>
    <x:row r="36" ht="28" customHeight="1">
      <x:c r="A36" s="81" t="str">
        <x:v>Case study note: Trainory and all review data are fictional.</x:v>
      </x:c>
      <x:c r="B36" s="81"/>
      <x:c r="C36" s="81"/>
      <x:c r="D36" s="81"/>
      <x:c r="E36" s="81"/>
      <x:c r="F36" s="81"/>
      <x:c r="G36" s="81"/>
      <x:c r="H36" s="81"/>
    </x:row>
  </x:sheetData>
  <x:mergeCells>
    <x:mergeCell ref="A4:H4"/>
    <x:mergeCell ref="A5:H8"/>
    <x:mergeCell ref="A10:H10"/>
    <x:mergeCell ref="A19:H19"/>
    <x:mergeCell ref="A20:H25"/>
    <x:mergeCell ref="A27:H27"/>
    <x:mergeCell ref="A36:H36"/>
    <x:mergeCell ref="A1:C1"/>
    <x:mergeCell ref="A2:C2"/>
  </x:mergeCells>
  <x:pageMargins left="0.7" right="0.7" top="0.75" bottom="0.75" header="0.3" footer="0.3"/>
</x:worksheet>
</file>