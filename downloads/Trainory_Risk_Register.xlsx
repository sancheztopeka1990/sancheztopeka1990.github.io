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23889aa3cc45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sk Register" sheetId="1" r:id="R02f0b433f4cc4525"/>
    <x:sheet xmlns:r="http://schemas.openxmlformats.org/officeDocument/2006/relationships" name="Scoring Guide" sheetId="2" r:id="R608a1997d42648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"/>
  </x:numFmts>
  <x:fonts count="13">
    <x:font>
      <x:sz val="11"/>
      <x:name val="Carlito"/>
    </x:font>
    <x:font>
      <x:b/>
      <x:sz val="18"/>
      <x:color rgb="FFFFFFFF"/>
      <x:name val="Carlito"/>
    </x:font>
    <x:font>
      <x:i/>
      <x:sz val="10"/>
      <x:color rgb="FF354A5F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3"/>
      <x:color rgb="FF16324F"/>
      <x:name val="Carlito"/>
    </x:font>
    <x:font>
      <x:b/>
      <x:sz val="9"/>
      <x:color rgb="FFFFFFFF"/>
      <x:name val="Carlito"/>
    </x:font>
    <x:font>
      <x:sz val="9"/>
      <x:color rgb="FF1F2937"/>
      <x:name val="Carlito"/>
    </x:font>
    <x:font>
      <x:b/>
      <x:sz val="9"/>
      <x:color rgb="FF16324F"/>
      <x:name val="Carlito"/>
    </x:font>
    <x:font>
      <x:sz val="10"/>
      <x:color rgb="FF1F2937"/>
      <x:name val="Carlito"/>
    </x:font>
    <x:font>
      <x:b/>
      <x:sz val="11"/>
      <x:color rgb="FF16324F"/>
      <x:name val="Carlito"/>
    </x:font>
    <x:font>
      <x:i/>
      <x:sz val="10"/>
      <x:color rgb="FF1F2937"/>
      <x:name val="Carlito"/>
    </x:font>
    <x:font>
      <x:b/>
      <x:sz val="16"/>
      <x:color rgb="FFFFFFFF"/>
      <x:name val="Aptos Display"/>
    </x:font>
  </x:fonts>
  <x:fills count="1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8F0F7"/>
      </x:patternFill>
    </x:fill>
    <x:fill>
      <x:patternFill patternType="solid">
        <x:fgColor rgb="FF2F6690"/>
      </x:patternFill>
    </x:fill>
    <x:fill>
      <x:patternFill patternType="solid">
        <x:fgColor rgb="FFF7FAFC"/>
      </x:patternFill>
    </x:fill>
    <x:fill>
      <x:patternFill patternType="solid">
        <x:fgColor rgb="FFDFF3E4"/>
      </x:patternFill>
    </x:fill>
    <x:fill>
      <x:patternFill patternType="solid">
        <x:fgColor rgb="FFFFF4D6"/>
      </x:patternFill>
    </x:fill>
    <x:fill>
      <x:patternFill patternType="solid">
        <x:fgColor rgb="FFFCE4C5"/>
      </x:patternFill>
    </x:fill>
    <x:fill>
      <x:patternFill patternType="solid">
        <x:fgColor rgb="FFF8D7DA"/>
      </x:patternFill>
    </x:fill>
    <x:fill>
      <x:patternFill patternType="solid">
        <x:fgColor rgb="FF193B5B"/>
      </x:patternFill>
    </x:fill>
    <x:fill>
      <x:patternFill patternType="solid">
        <x:fgColor rgb="FF193B5B"/>
      </x:patternFill>
    </x:fill>
    <x:fill>
      <x:patternFill patternType="solid">
        <x:fgColor rgb="FF193B5B"/>
      </x:patternFill>
    </x:fill>
    <x:fill>
      <x:patternFill patternType="solid">
        <x:fgColor rgb="FF193B5B"/>
      </x:patternFill>
    </x:fill>
    <x:fill>
      <x:patternFill patternType="solid">
        <x:fgColor rgb="FF193B5B"/>
      </x:patternFill>
    </x:fill>
    <x:fill>
      <x:patternFill patternType="solid">
        <x:fgColor rgb="FF193B5B"/>
      </x:patternFill>
    </x:fill>
  </x:fills>
  <x:borders count="15">
    <x:border/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D9E2EA"/>
      </x:top>
    </x:border>
    <x:border>
      <x:left style="thin">
        <x:color rgb="FF244C6D"/>
      </x:left>
      <x:top style="thin">
        <x:color rgb="FF244C6D"/>
      </x:top>
      <x:bottom style="thin">
        <x:color rgb="FF244C6D"/>
      </x:bottom>
    </x:border>
    <x:border>
      <x:top style="thin">
        <x:color rgb="FF244C6D"/>
      </x:top>
      <x:bottom style="thin">
        <x:color rgb="FF244C6D"/>
      </x:bottom>
    </x:border>
    <x:border>
      <x:right style="thin">
        <x:color rgb="FF244C6D"/>
      </x:right>
      <x:top style="thin">
        <x:color rgb="FF244C6D"/>
      </x:top>
      <x:bottom style="thin">
        <x:color rgb="FF244C6D"/>
      </x:bottom>
    </x:border>
    <x:border>
      <x:left style="thin">
        <x:color rgb="FFB7C8D6"/>
      </x:left>
      <x:top style="thin">
        <x:color rgb="FFB7C8D6"/>
      </x:top>
    </x:border>
    <x:border>
      <x:top style="thin">
        <x:color rgb="FFB7C8D6"/>
      </x:top>
    </x:border>
    <x:border>
      <x:right style="thin">
        <x:color rgb="FFB7C8D6"/>
      </x:right>
      <x:top style="thin">
        <x:color rgb="FFB7C8D6"/>
      </x:top>
    </x:border>
    <x:border>
      <x:left style="thin">
        <x:color rgb="FFB7C8D6"/>
      </x:left>
    </x:border>
    <x:border>
      <x:right style="thin">
        <x:color rgb="FFB7C8D6"/>
      </x:right>
    </x:border>
    <x:border>
      <x:left style="thin">
        <x:color rgb="FFB7C8D6"/>
      </x:left>
      <x:bottom style="thin">
        <x:color rgb="FFB7C8D6"/>
      </x:bottom>
    </x:border>
    <x:border>
      <x:bottom style="thin">
        <x:color rgb="FFB7C8D6"/>
      </x:bottom>
    </x:border>
    <x:border>
      <x:right style="thin">
        <x:color rgb="FFB7C8D6"/>
      </x:right>
      <x:bottom style="thin">
        <x:color rgb="FFB7C8D6"/>
      </x:bottom>
    </x:border>
  </x:borders>
  <x:cellStyleXfs count="1">
    <x:xf numFmtId="0" fontId="0" fillId="0" borderId="0"/>
  </x:cellStyleXfs>
  <x:cellXfs count="1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5" fillId="5" borderId="1" xfId="0" applyNumberFormat="1" applyFont="1" applyFill="1" applyBorder="1"/>
    <x:xf numFmtId="0" fontId="5" fillId="5" borderId="2" xfId="0" applyNumberFormat="1" applyFont="1" applyFill="1" applyBorder="1"/>
    <x:xf numFmtId="0" fontId="5" fillId="5" borderId="3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5" fillId="5" borderId="2" xfId="0" applyNumberFormat="1" applyFont="1" applyFill="1" applyBorder="1" applyAlignment="1">
      <x:alignment horizontal="center"/>
    </x:xf>
    <x:xf numFmtId="0" fontId="5" fillId="5" borderId="3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4" fillId="7" borderId="0" xfId="0" applyNumberFormat="1" applyFont="1" applyFill="1" applyBorder="1" applyAlignment="1">
      <x:alignment vertical="center" wrapText="1"/>
    </x:xf>
    <x:xf numFmtId="0" fontId="4" fillId="8" borderId="0" xfId="0" applyNumberFormat="1" applyFont="1" applyFill="1" applyBorder="1" applyAlignment="1">
      <x:alignment vertical="center" wrapText="1"/>
    </x:xf>
    <x:xf numFmtId="0" fontId="4" fillId="9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/>
    <x:xf numFmtId="0" fontId="6" fillId="4" borderId="4" xfId="0" applyNumberFormat="1" applyFont="1" applyFill="1" applyBorder="1"/>
    <x:xf numFmtId="0" fontId="6" fillId="4" borderId="5" xfId="0" applyNumberFormat="1" applyFont="1" applyFill="1" applyBorder="1"/>
    <x:xf numFmtId="0" fontId="6" fillId="4" borderId="6" xfId="0" applyNumberFormat="1" applyFont="1" applyFill="1" applyBorder="1"/>
    <x:xf numFmtId="0" fontId="6" fillId="4" borderId="4" xfId="0" applyNumberFormat="1" applyFont="1" applyFill="1" applyBorder="1" applyAlignment="1">
      <x:alignment wrapText="1"/>
    </x:xf>
    <x:xf numFmtId="0" fontId="6" fillId="4" borderId="5" xfId="0" applyNumberFormat="1" applyFont="1" applyFill="1" applyBorder="1" applyAlignment="1">
      <x:alignment wrapText="1"/>
    </x:xf>
    <x:xf numFmtId="0" fontId="6" fillId="4" borderId="6" xfId="0" applyNumberFormat="1" applyFont="1" applyFill="1" applyBorder="1" applyAlignment="1">
      <x:alignment wrapText="1"/>
    </x:xf>
    <x:xf numFmtId="0" fontId="6" fillId="4" borderId="4" xfId="0" applyNumberFormat="1" applyFont="1" applyFill="1" applyBorder="1" applyAlignment="1">
      <x:alignment horizontal="center" wrapText="1"/>
    </x:xf>
    <x:xf numFmtId="0" fontId="6" fillId="4" borderId="5" xfId="0" applyNumberFormat="1" applyFont="1" applyFill="1" applyBorder="1" applyAlignment="1">
      <x:alignment horizontal="center" wrapText="1"/>
    </x:xf>
    <x:xf numFmtId="0" fontId="6" fillId="4" borderId="6" xfId="0" applyNumberFormat="1" applyFont="1" applyFill="1" applyBorder="1" applyAlignment="1">
      <x:alignment horizontal="center" wrapText="1"/>
    </x:xf>
    <x:xf numFmtId="0" fontId="6" fillId="4" borderId="4" xfId="0" applyNumberFormat="1" applyFont="1" applyFill="1" applyBorder="1" applyAlignment="1">
      <x:alignment horizontal="center" vertical="center" wrapText="1"/>
    </x:xf>
    <x:xf numFmtId="0" fontId="6" fillId="4" borderId="5" xfId="0" applyNumberFormat="1" applyFont="1" applyFill="1" applyBorder="1" applyAlignment="1">
      <x:alignment horizontal="center" vertical="center" wrapText="1"/>
    </x:xf>
    <x:xf numFmtId="0" fontId="6" fillId="4" borderId="6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7" fillId="0" borderId="2" xfId="0" applyNumberFormat="1" applyFont="1" applyFill="1" applyBorder="1"/>
    <x:xf numFmtId="0" fontId="7" fillId="0" borderId="3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vertical="center" wrapText="1"/>
    </x:xf>
    <x:xf numFmtId="0" fontId="7" fillId="0" borderId="3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vertical="center" wrapText="1"/>
    </x:xf>
    <x:xf numFmtId="0" fontId="8" fillId="0" borderId="2" xfId="0" applyNumberFormat="1" applyFont="1" applyFill="1" applyBorder="1" applyAlignment="1">
      <x:alignment vertical="center" wrapText="1"/>
    </x:xf>
    <x:xf numFmtId="0" fontId="8" fillId="0" borderId="3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horizontal="center" vertical="center" wrapText="1"/>
    </x:xf>
    <x:xf numFmtId="0" fontId="7" fillId="0" borderId="2" xfId="0" applyNumberFormat="1" applyFont="1" applyFill="1" applyBorder="1" applyAlignment="1">
      <x:alignment horizontal="center" vertical="center" wrapText="1"/>
    </x:xf>
    <x:xf numFmtId="0" fontId="7" fillId="0" borderId="3" xfId="0" applyNumberFormat="1" applyFont="1" applyFill="1" applyBorder="1" applyAlignment="1">
      <x:alignment horizontal="center" vertical="center" wrapText="1"/>
    </x:xf>
    <x:xf numFmtId="200" fontId="7" fillId="0" borderId="1" xfId="0" applyNumberFormat="1" applyFont="1" applyFill="1" applyBorder="1" applyAlignment="1">
      <x:alignment horizontal="center" vertical="center" wrapText="1"/>
    </x:xf>
    <x:xf numFmtId="200" fontId="7" fillId="0" borderId="2" xfId="0" applyNumberFormat="1" applyFont="1" applyFill="1" applyBorder="1" applyAlignment="1">
      <x:alignment horizontal="center" vertical="center" wrapText="1"/>
    </x:xf>
    <x:xf numFmtId="200" fontId="7" fillId="0" borderId="3" xfId="0" applyNumberFormat="1" applyFont="1" applyFill="1" applyBorder="1" applyAlignment="1">
      <x:alignment horizontal="center" vertical="center" wrapText="1"/>
    </x:xf>
    <x:xf numFmtId="201" fontId="7" fillId="0" borderId="1" xfId="0" applyNumberFormat="1" applyFont="1" applyFill="1" applyBorder="1" applyAlignment="1">
      <x:alignment horizontal="center" vertical="center" wrapText="1"/>
    </x:xf>
    <x:xf numFmtId="201" fontId="7" fillId="0" borderId="2" xfId="0" applyNumberFormat="1" applyFont="1" applyFill="1" applyBorder="1" applyAlignment="1">
      <x:alignment horizontal="center" vertical="center" wrapText="1"/>
    </x:xf>
    <x:xf numFmtId="201" fontId="7" fillId="0" borderId="3" xfId="0" applyNumberFormat="1" applyFont="1" applyFill="1" applyBorder="1" applyAlignment="1">
      <x:alignment horizontal="center" vertical="center" wrapText="1"/>
    </x:xf>
    <x:xf numFmtId="0" fontId="9" fillId="5" borderId="0" xfId="0" applyNumberFormat="1" applyFont="1" applyFill="1" applyBorder="1"/>
    <x:xf numFmtId="0" fontId="9" fillId="5" borderId="1" xfId="0" applyNumberFormat="1" applyFont="1" applyFill="1" applyBorder="1"/>
    <x:xf numFmtId="0" fontId="9" fillId="5" borderId="2" xfId="0" applyNumberFormat="1" applyFont="1" applyFill="1" applyBorder="1"/>
    <x:xf numFmtId="0" fontId="9" fillId="5" borderId="3" xfId="0" applyNumberFormat="1" applyFont="1" applyFill="1" applyBorder="1"/>
    <x:xf numFmtId="0" fontId="9" fillId="5" borderId="1" xfId="0" applyNumberFormat="1" applyFont="1" applyFill="1" applyBorder="1" applyAlignment="1">
      <x:alignment wrapText="1"/>
    </x:xf>
    <x:xf numFmtId="0" fontId="9" fillId="5" borderId="2" xfId="0" applyNumberFormat="1" applyFont="1" applyFill="1" applyBorder="1" applyAlignment="1">
      <x:alignment wrapText="1"/>
    </x:xf>
    <x:xf numFmtId="0" fontId="9" fillId="5" borderId="3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6" borderId="1" xfId="0" applyNumberFormat="1" applyFont="1" applyFill="1" applyBorder="1"/>
    <x:xf numFmtId="0" fontId="4" fillId="7" borderId="2" xfId="0" applyNumberFormat="1" applyFont="1" applyFill="1" applyBorder="1"/>
    <x:xf numFmtId="0" fontId="4" fillId="8" borderId="2" xfId="0" applyNumberFormat="1" applyFont="1" applyFill="1" applyBorder="1"/>
    <x:xf numFmtId="0" fontId="4" fillId="9" borderId="3" xfId="0" applyNumberFormat="1" applyFont="1" applyFill="1" applyBorder="1"/>
    <x:xf numFmtId="0" fontId="10" fillId="3" borderId="0" xfId="0" applyNumberFormat="1" applyFont="1" applyFill="1" applyBorder="1"/>
    <x:xf numFmtId="0" fontId="11" fillId="5" borderId="0" xfId="0" applyNumberFormat="1" applyFont="1" applyFill="1" applyBorder="1"/>
    <x:xf numFmtId="0" fontId="11" fillId="5" borderId="7" xfId="0" applyNumberFormat="1" applyFont="1" applyFill="1" applyBorder="1"/>
    <x:xf numFmtId="0" fontId="11" fillId="5" borderId="8" xfId="0" applyNumberFormat="1" applyFont="1" applyFill="1" applyBorder="1"/>
    <x:xf numFmtId="0" fontId="11" fillId="5" borderId="9" xfId="0" applyNumberFormat="1" applyFont="1" applyFill="1" applyBorder="1"/>
    <x:xf numFmtId="0" fontId="11" fillId="5" borderId="10" xfId="0" applyNumberFormat="1" applyFont="1" applyFill="1" applyBorder="1"/>
    <x:xf numFmtId="0" fontId="11" fillId="5" borderId="11" xfId="0" applyNumberFormat="1" applyFont="1" applyFill="1" applyBorder="1"/>
    <x:xf numFmtId="0" fontId="11" fillId="5" borderId="12" xfId="0" applyNumberFormat="1" applyFont="1" applyFill="1" applyBorder="1"/>
    <x:xf numFmtId="0" fontId="11" fillId="5" borderId="13" xfId="0" applyNumberFormat="1" applyFont="1" applyFill="1" applyBorder="1"/>
    <x:xf numFmtId="0" fontId="11" fillId="5" borderId="14" xfId="0" applyNumberFormat="1" applyFont="1" applyFill="1" applyBorder="1"/>
    <x:xf numFmtId="0" fontId="11" fillId="5" borderId="7" xfId="0" applyNumberFormat="1" applyFont="1" applyFill="1" applyBorder="1" applyAlignment="1">
      <x:alignment wrapText="1"/>
    </x:xf>
    <x:xf numFmtId="0" fontId="11" fillId="5" borderId="8" xfId="0" applyNumberFormat="1" applyFont="1" applyFill="1" applyBorder="1" applyAlignment="1">
      <x:alignment wrapText="1"/>
    </x:xf>
    <x:xf numFmtId="0" fontId="11" fillId="5" borderId="9" xfId="0" applyNumberFormat="1" applyFont="1" applyFill="1" applyBorder="1" applyAlignment="1">
      <x:alignment wrapText="1"/>
    </x:xf>
    <x:xf numFmtId="0" fontId="11" fillId="5" borderId="10" xfId="0" applyNumberFormat="1" applyFont="1" applyFill="1" applyBorder="1" applyAlignment="1">
      <x:alignment wrapText="1"/>
    </x:xf>
    <x:xf numFmtId="0" fontId="11" fillId="5" borderId="0" xfId="0" applyNumberFormat="1" applyFont="1" applyFill="1" applyBorder="1" applyAlignment="1">
      <x:alignment wrapText="1"/>
    </x:xf>
    <x:xf numFmtId="0" fontId="11" fillId="5" borderId="11" xfId="0" applyNumberFormat="1" applyFont="1" applyFill="1" applyBorder="1" applyAlignment="1">
      <x:alignment wrapText="1"/>
    </x:xf>
    <x:xf numFmtId="0" fontId="11" fillId="5" borderId="12" xfId="0" applyNumberFormat="1" applyFont="1" applyFill="1" applyBorder="1" applyAlignment="1">
      <x:alignment wrapText="1"/>
    </x:xf>
    <x:xf numFmtId="0" fontId="11" fillId="5" borderId="13" xfId="0" applyNumberFormat="1" applyFont="1" applyFill="1" applyBorder="1" applyAlignment="1">
      <x:alignment wrapText="1"/>
    </x:xf>
    <x:xf numFmtId="0" fontId="11" fillId="5" borderId="14" xfId="0" applyNumberFormat="1" applyFont="1" applyFill="1" applyBorder="1" applyAlignment="1">
      <x:alignment wrapText="1"/>
    </x:xf>
    <x:xf numFmtId="0" fontId="11" fillId="5" borderId="7" xfId="0" applyNumberFormat="1" applyFont="1" applyFill="1" applyBorder="1" applyAlignment="1">
      <x:alignment vertical="center" wrapText="1"/>
    </x:xf>
    <x:xf numFmtId="0" fontId="11" fillId="5" borderId="8" xfId="0" applyNumberFormat="1" applyFont="1" applyFill="1" applyBorder="1" applyAlignment="1">
      <x:alignment vertical="center" wrapText="1"/>
    </x:xf>
    <x:xf numFmtId="0" fontId="11" fillId="5" borderId="9" xfId="0" applyNumberFormat="1" applyFont="1" applyFill="1" applyBorder="1" applyAlignment="1">
      <x:alignment vertical="center" wrapText="1"/>
    </x:xf>
    <x:xf numFmtId="0" fontId="11" fillId="5" borderId="10" xfId="0" applyNumberFormat="1" applyFont="1" applyFill="1" applyBorder="1" applyAlignment="1">
      <x:alignment vertical="center" wrapText="1"/>
    </x:xf>
    <x:xf numFmtId="0" fontId="11" fillId="5" borderId="0" xfId="0" applyNumberFormat="1" applyFont="1" applyFill="1" applyBorder="1" applyAlignment="1">
      <x:alignment vertical="center" wrapText="1"/>
    </x:xf>
    <x:xf numFmtId="0" fontId="11" fillId="5" borderId="11" xfId="0" applyNumberFormat="1" applyFont="1" applyFill="1" applyBorder="1" applyAlignment="1">
      <x:alignment vertical="center" wrapText="1"/>
    </x:xf>
    <x:xf numFmtId="0" fontId="11" fillId="5" borderId="12" xfId="0" applyNumberFormat="1" applyFont="1" applyFill="1" applyBorder="1" applyAlignment="1">
      <x:alignment vertical="center" wrapText="1"/>
    </x:xf>
    <x:xf numFmtId="0" fontId="11" fillId="5" borderId="13" xfId="0" applyNumberFormat="1" applyFont="1" applyFill="1" applyBorder="1" applyAlignment="1">
      <x:alignment vertical="center" wrapText="1"/>
    </x:xf>
    <x:xf numFmtId="0" fontId="11" fillId="5" borderId="14" xfId="0" applyNumberFormat="1" applyFont="1" applyFill="1" applyBorder="1" applyAlignment="1">
      <x:alignment vertical="center" wrapText="1"/>
    </x:xf>
    <x:xf numFmtId="0" fontId="1" fillId="10" borderId="0" xfId="0" applyNumberFormat="1" applyFont="1" applyFill="1" applyBorder="1"/>
    <x:xf numFmtId="0" fontId="12" fillId="10" borderId="0" xfId="0" applyNumberFormat="1" applyFont="1" applyFill="1" applyBorder="1"/>
    <x:xf numFmtId="0" fontId="12" fillId="11" borderId="0" xfId="0" applyNumberFormat="1" applyFont="1" applyFill="1" applyBorder="1"/>
    <x:xf numFmtId="0" fontId="12" fillId="12" borderId="0" xfId="0" applyNumberFormat="1" applyFont="1" applyFill="1" applyBorder="1"/>
    <x:xf numFmtId="0" fontId="12" fillId="13" borderId="0" xfId="0" applyNumberFormat="1" applyFont="1" applyFill="1" applyBorder="1"/>
    <x:xf numFmtId="0" fontId="12" fillId="14" borderId="0" xfId="0" applyNumberFormat="1" applyFont="1" applyFill="1" applyBorder="1"/>
    <x:xf numFmtId="0" fontId="12" fillId="15" borderId="0" xfId="0" applyNumberFormat="1" applyFont="1" applyFill="1" applyBorder="1"/>
  </x:cellXfs>
  <x:cellStyles count="1">
    <x:cellStyle name="Normal" xfId="0"/>
  </x:cellStyles>
  <x:dxfs count="9">
    <x:dxf>
      <x:font>
        <x:b/>
        <x:color rgb="FF842029"/>
      </x:font>
      <x:fill>
        <x:patternFill>
          <x:bgColor rgb="FFF8D7DA"/>
        </x:patternFill>
      </x:fill>
    </x:dxf>
    <x:dxf>
      <x:font>
        <x:b/>
        <x:color rgb="FF9A4D00"/>
      </x:font>
      <x:fill>
        <x:patternFill>
          <x:bgColor rgb="FFFCE4C5"/>
        </x:patternFill>
      </x:fill>
    </x:dxf>
    <x:dxf>
      <x:font>
        <x:color rgb="FF7A5A00"/>
      </x:font>
      <x:fill>
        <x:patternFill>
          <x:bgColor rgb="FFFFF4D6"/>
        </x:patternFill>
      </x:fill>
    </x:dxf>
    <x:dxf>
      <x:font>
        <x:color rgb="FF166534"/>
      </x:font>
      <x:fill>
        <x:patternFill>
          <x:bgColor rgb="FFDFF3E4"/>
        </x:patternFill>
      </x:fill>
    </x:dxf>
    <x:dxf>
      <x:font>
        <x:b/>
        <x:color rgb="FF842029"/>
      </x:font>
      <x:fill>
        <x:patternFill>
          <x:bgColor rgb="FFF8D7DA"/>
        </x:patternFill>
      </x:fill>
    </x:dxf>
    <x:dxf>
      <x:font>
        <x:b/>
        <x:color rgb="FF9A4D00"/>
      </x:font>
      <x:fill>
        <x:patternFill>
          <x:bgColor rgb="FFFCE4C5"/>
        </x:patternFill>
      </x:fill>
    </x:dxf>
    <x:dxf>
      <x:font>
        <x:color rgb="FF7A5A00"/>
      </x:font>
      <x:fill>
        <x:patternFill>
          <x:bgColor rgb="FFFFF4D6"/>
        </x:patternFill>
      </x:fill>
    </x:dxf>
    <x:dxf>
      <x:font>
        <x:color rgb="FF166534"/>
      </x:font>
      <x:fill>
        <x:patternFill>
          <x:bgColor rgb="FFDFF3E4"/>
        </x:patternFill>
      </x:fill>
    </x:dxf>
    <x:dxf>
      <x:font>
        <x:b/>
        <x:color rgb="FF16324F"/>
      </x:font>
      <x:fill>
        <x:patternFill>
          <x:bgColor rgb="FFE8F0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98f3a02e934ae0" /><Relationship Type="http://schemas.openxmlformats.org/officeDocument/2006/relationships/theme" Target="/xl/theme/theme1.xml" Id="Rb4b0b915b6424b05" /><Relationship Type="http://schemas.openxmlformats.org/officeDocument/2006/relationships/sharedStrings" Target="/xl/sharedStrings.xml" Id="Rf5881eaa0aea4962" /><Relationship Type="http://schemas.openxmlformats.org/officeDocument/2006/relationships/worksheet" Target="/xl/worksheets/sheet1.xml" Id="R02f0b433f4cc4525" /><Relationship Type="http://schemas.openxmlformats.org/officeDocument/2006/relationships/worksheet" Target="/xl/worksheets/sheet2.xml" Id="R608a1997d4264857" /></Relationships>
</file>

<file path=xl/tables/table1.xml><?xml version="1.0" encoding="utf-8"?>
<x:table xmlns:x="http://schemas.openxmlformats.org/spreadsheetml/2006/main" id="1" name="TrainoryRiskRegister" displayName="TrainoryRiskRegister" ref="A11:U26" headerRowCount="1" totalsRowCount="0" totalsRowShown="0">
  <x:autoFilter ref="A11:U26"/>
  <x:tableColumns count="21">
    <x:tableColumn id="1" name="Risk ID"/>
    <x:tableColumn id="2" name="Related Asset IDs"/>
    <x:tableColumn id="3" name="Risk Category"/>
    <x:tableColumn id="4" name="Risk Statement"/>
    <x:tableColumn id="5" name="Inherent Likelihood"/>
    <x:tableColumn id="6" name="Inherent Impact"/>
    <x:tableColumn id="7" name="Inherent Score"/>
    <x:tableColumn id="8" name="Inherent Rating"/>
    <x:tableColumn id="9" name="Existing Controls"/>
    <x:tableColumn id="10" name="Control Effectiveness"/>
    <x:tableColumn id="11" name="Residual Likelihood"/>
    <x:tableColumn id="12" name="Residual Impact"/>
    <x:tableColumn id="13" name="Residual Score"/>
    <x:tableColumn id="14" name="Residual Rating"/>
    <x:tableColumn id="15" name="Treatment"/>
    <x:tableColumn id="16" name="Risk Owner"/>
    <x:tableColumn id="17" name="Status"/>
    <x:tableColumn id="18" name="Target Date"/>
    <x:tableColumn id="19" name="Recommended Actions"/>
    <x:tableColumn id="20" name="Rationale / Notes"/>
    <x:tableColumn id="21" name="Reviewer Decis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666126c229e45d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22" hidden="0" customWidth="1"/>
    <x:col min="4" max="4" width="48" hidden="0" customWidth="1"/>
    <x:col min="5" max="5" width="13" hidden="0" customWidth="1"/>
    <x:col min="6" max="6" width="12" hidden="0" customWidth="1"/>
    <x:col min="7" max="7" width="12" hidden="0" customWidth="1"/>
    <x:col min="8" max="8" width="15" hidden="0" customWidth="1"/>
    <x:col min="9" max="9" width="45" hidden="0" customWidth="1"/>
    <x:col min="10" max="10" width="18" hidden="0" customWidth="1"/>
    <x:col min="11" max="11" width="13" hidden="0" customWidth="1"/>
    <x:col min="12" max="12" width="12" hidden="0" customWidth="1"/>
    <x:col min="13" max="13" width="12" hidden="0" customWidth="1"/>
    <x:col min="14" max="14" width="15" hidden="0" customWidth="1"/>
    <x:col min="15" max="15" width="14" hidden="0" customWidth="1"/>
    <x:col min="16" max="16" width="23" hidden="0" customWidth="1"/>
    <x:col min="17" max="17" width="15" hidden="0" customWidth="1"/>
    <x:col min="18" max="18" width="14" hidden="0" customWidth="1"/>
    <x:col min="19" max="19" width="48" hidden="0" customWidth="1"/>
    <x:col min="20" max="20" width="38" hidden="0" customWidth="1"/>
    <x:col min="21" max="21" width="18" hidden="0" customWidth="1"/>
  </x:cols>
  <x:sheetData>
    <x:row r="1" ht="34" customHeight="1">
      <x:c r="A1" s="3" t="str">
        <x:v>Trainory Cybersecurity Risk Register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>
      <x:c r="A2" s="5" t="str">
        <x:v>Initial risk identification and qualitative 5 × 5 scoring</x:v>
      </x:c>
      <x:c r="B2" s="5" t="str">
        <x:v>Initial risk identification and qualitative 5 × 5 scoring</x:v>
      </x:c>
      <x:c r="C2" s="5" t="str">
        <x:v>Initial risk identification and qualitative 5 × 5 scoring</x:v>
      </x:c>
      <x:c r="D2" s="5" t="str">
        <x:v>Initial risk identification and qualitative 5 × 5 scoring</x:v>
      </x:c>
      <x:c r="E2" s="5" t="str">
        <x:v>Initial risk identification and qualitative 5 × 5 scoring</x:v>
      </x:c>
      <x:c r="F2" s="5" t="str">
        <x:v>Initial risk identification and qualitative 5 × 5 scoring</x:v>
      </x:c>
      <x:c r="G2" s="5" t="str">
        <x:v>Initial risk identification and qualitative 5 × 5 scoring</x:v>
      </x:c>
      <x:c r="H2" s="5" t="str">
        <x:v>Initial risk identification and qualitative 5 × 5 scoring</x:v>
      </x:c>
      <x:c r="I2" s="5" t="str">
        <x:v>Initial risk identification and qualitative 5 × 5 scoring</x:v>
      </x:c>
      <x:c r="J2" s="5" t="str">
        <x:v>Initial risk identification and qualitative 5 × 5 scoring</x:v>
      </x:c>
      <x:c r="K2" s="5" t="str">
        <x:v>Initial risk identification and qualitative 5 × 5 scoring</x:v>
      </x:c>
      <x:c r="L2" s="5" t="str">
        <x:v>Initial risk identification and qualitative 5 × 5 scoring</x:v>
      </x:c>
      <x:c r="M2" s="5" t="str">
        <x:v>Initial risk identification and qualitative 5 × 5 scoring</x:v>
      </x:c>
      <x:c r="N2" s="5" t="str">
        <x:v>Initial risk identification and qualitative 5 × 5 scoring</x:v>
      </x:c>
      <x:c r="O2" s="5" t="str">
        <x:v>Initial risk identification and qualitative 5 × 5 scoring</x:v>
      </x:c>
      <x:c r="P2" s="5" t="str">
        <x:v>Initial risk identification and qualitative 5 × 5 scoring</x:v>
      </x:c>
      <x:c r="Q2" s="5" t="str">
        <x:v>Initial risk identification and qualitative 5 × 5 scoring</x:v>
      </x:c>
      <x:c r="R2" s="5" t="str">
        <x:v>Initial risk identification and qualitative 5 × 5 scoring</x:v>
      </x:c>
      <x:c r="S2" s="5" t="str">
        <x:v>Initial risk identification and qualitative 5 × 5 scoring</x:v>
      </x:c>
      <x:c r="T2" s="5" t="str">
        <x:v>Initial risk identification and qualitative 5 × 5 scoring</x:v>
      </x:c>
      <x:c r="U2" s="5" t="str">
        <x:v>Initial risk identification and qualitative 5 × 5 scoring</x:v>
      </x:c>
    </x:row>
    <x:row r="4">
      <x:c r="A4" s="7" t="str">
        <x:v>Summary</x:v>
      </x:c>
      <x:c r="B4" s="7" t="str">
        <x:v>Value</x:v>
      </x:c>
      <x:c r="D4" s="19" t="str">
        <x:v>Risk scoring</x:v>
      </x:c>
      <x:c r="E4" s="19" t="str">
        <x:v>Low</x:v>
      </x:c>
      <x:c r="F4" s="19" t="str">
        <x:v>Moderate</x:v>
      </x:c>
      <x:c r="G4" s="19" t="str">
        <x:v>High</x:v>
      </x:c>
      <x:c r="H4" s="19" t="str">
        <x:v>Critical</x:v>
      </x:c>
    </x:row>
    <x:row r="5">
      <x:c r="A5" s="10" t="str">
        <x:v>Total risks</x:v>
      </x:c>
      <x:c r="B5" s="16" t="n">
        <x:f>COUNTA(A12:A111)</x:f>
        <x:v>15</x:v>
      </x:c>
      <x:c r="D5" s="21" t="str">
        <x:v>Score range</x:v>
      </x:c>
      <x:c r="E5" s="22" t="str">
        <x:v>1-4</x:v>
      </x:c>
      <x:c r="F5" s="23" t="str">
        <x:v>5-9</x:v>
      </x:c>
      <x:c r="G5" s="24" t="str">
        <x:v>10-16</x:v>
      </x:c>
      <x:c r="H5" s="25" t="str">
        <x:v>17-25</x:v>
      </x:c>
    </x:row>
    <x:row r="6">
      <x:c r="A6" s="11" t="str">
        <x:v>Critical inherent risks</x:v>
      </x:c>
      <x:c r="B6" s="17" t="n">
        <x:f>COUNTIF(H12:H111,"Critical")</x:f>
        <x:v>2</x:v>
      </x:c>
      <x:c r="D6" s="21" t="str">
        <x:v>Method</x:v>
      </x:c>
      <x:c r="E6" s="21" t="str">
        <x:v>Likelihood (1-5) x Impact (1-5)</x:v>
      </x:c>
      <x:c r="F6" s="21"/>
      <x:c r="G6" s="21"/>
      <x:c r="H6" s="21"/>
    </x:row>
    <x:row r="7">
      <x:c r="A7" s="12" t="str">
        <x:v>High residual risks</x:v>
      </x:c>
      <x:c r="B7" s="18" t="n">
        <x:f>COUNTIF(N12:N111,"High")</x:f>
        <x:v>11</x:v>
      </x:c>
      <x:c r="D7" s="21" t="str">
        <x:v>Note</x:v>
      </x:c>
      <x:c r="E7" s="21" t="str">
        <x:v>Inherent risk is before controls; residual risk is after existing controls.</x:v>
      </x:c>
      <x:c r="F7" s="21"/>
      <x:c r="G7" s="21"/>
      <x:c r="H7" s="21"/>
    </x:row>
    <x:row r="11" ht="42" customHeight="1">
      <x:c r="A11" s="36" t="str">
        <x:v>Risk ID</x:v>
      </x:c>
      <x:c r="B11" s="37" t="str">
        <x:v>Related Asset IDs</x:v>
      </x:c>
      <x:c r="C11" s="37" t="str">
        <x:v>Risk Category</x:v>
      </x:c>
      <x:c r="D11" s="37" t="str">
        <x:v>Risk Statement</x:v>
      </x:c>
      <x:c r="E11" s="37" t="str">
        <x:v>Inherent Likelihood</x:v>
      </x:c>
      <x:c r="F11" s="37" t="str">
        <x:v>Inherent Impact</x:v>
      </x:c>
      <x:c r="G11" s="37" t="str">
        <x:v>Inherent Score</x:v>
      </x:c>
      <x:c r="H11" s="37" t="str">
        <x:v>Inherent Rating</x:v>
      </x:c>
      <x:c r="I11" s="37" t="str">
        <x:v>Existing Controls</x:v>
      </x:c>
      <x:c r="J11" s="37" t="str">
        <x:v>Control Effectiveness</x:v>
      </x:c>
      <x:c r="K11" s="37" t="str">
        <x:v>Residual Likelihood</x:v>
      </x:c>
      <x:c r="L11" s="37" t="str">
        <x:v>Residual Impact</x:v>
      </x:c>
      <x:c r="M11" s="37" t="str">
        <x:v>Residual Score</x:v>
      </x:c>
      <x:c r="N11" s="37" t="str">
        <x:v>Residual Rating</x:v>
      </x:c>
      <x:c r="O11" s="37" t="str">
        <x:v>Treatment</x:v>
      </x:c>
      <x:c r="P11" s="37" t="str">
        <x:v>Risk Owner</x:v>
      </x:c>
      <x:c r="Q11" s="37" t="str">
        <x:v>Status</x:v>
      </x:c>
      <x:c r="R11" s="37" t="str">
        <x:v>Target Date</x:v>
      </x:c>
      <x:c r="S11" s="37" t="str">
        <x:v>Recommended Actions</x:v>
      </x:c>
      <x:c r="T11" s="37" t="str">
        <x:v>Rationale / Notes</x:v>
      </x:c>
      <x:c r="U11" s="38" t="str">
        <x:v>Reviewer Decision</x:v>
      </x:c>
    </x:row>
    <x:row r="12" ht="21.600000381469727" hidden="0" customHeight="1">
      <x:c r="A12" s="49" t="str">
        <x:v>TRN-R001</x:v>
      </x:c>
      <x:c r="B12" s="46" t="str">
        <x:v>TRN-A004; TRN-A002</x:v>
      </x:c>
      <x:c r="C12" s="46" t="str">
        <x:v>Account compromise</x:v>
      </x:c>
      <x:c r="D12" s="46" t="str">
        <x:v>Stolen or reused customer credentials could allow unauthorized access to customer fitness and personal data.</x:v>
      </x:c>
      <x:c r="E12" s="52" t="n">
        <x:v>4</x:v>
      </x:c>
      <x:c r="F12" s="52" t="n">
        <x:v>5</x:v>
      </x:c>
      <x:c r="G12" s="55" t="n">
        <x:f>E12*F12</x:f>
        <x:v>20</x:v>
      </x:c>
      <x:c r="H12" s="52" t="str">
        <x:f>IF(G12&lt;=4,"Low",IF(G12&lt;=9,"Moderate",IF(G12&lt;=16,"High","Critical")))</x:f>
        <x:v>Critical</x:v>
      </x:c>
      <x:c r="I12" s="46" t="str">
        <x:v>MFA for employees; password hashing; basic login monitoring</x:v>
      </x:c>
      <x:c r="J12" s="52" t="str">
        <x:v>Partial</x:v>
      </x:c>
      <x:c r="K12" s="52" t="n">
        <x:v>3</x:v>
      </x:c>
      <x:c r="L12" s="52" t="n">
        <x:v>5</x:v>
      </x:c>
      <x:c r="M12" s="55" t="n">
        <x:f>K12*L12</x:f>
        <x:v>15</x:v>
      </x:c>
      <x:c r="N12" s="52" t="str">
        <x:f>IF(M12&lt;=4,"Low",IF(M12&lt;=9,"Moderate",IF(M12&lt;=16,"High","Critical")))</x:f>
        <x:v>High</x:v>
      </x:c>
      <x:c r="O12" s="52" t="str">
        <x:v>Mitigate</x:v>
      </x:c>
      <x:c r="P12" s="52" t="str">
        <x:v>Cybersecurity / IT</x:v>
      </x:c>
      <x:c r="Q12" s="52" t="str">
        <x:v>In Progress</x:v>
      </x:c>
      <x:c r="R12" s="58" t="n">
        <x:v>46326</x:v>
      </x:c>
      <x:c r="S12" s="46" t="str">
        <x:v>Add customer MFA options, breached-password screening, rate limiting, and stronger alerting.</x:v>
      </x:c>
      <x:c r="T12" s="46"/>
      <x:c r="U12" s="46" t="str">
        <x:v>Pending review</x:v>
      </x:c>
    </x:row>
    <x:row r="13" ht="21.600000381469727" hidden="0" customHeight="1">
      <x:c r="A13" s="50" t="str">
        <x:v>TRN-R002</x:v>
      </x:c>
      <x:c r="B13" s="47" t="str">
        <x:v>TRN-A002; TRN-A003</x:v>
      </x:c>
      <x:c r="C13" s="47" t="str">
        <x:v>Cloud misconfiguration</x:v>
      </x:c>
      <x:c r="D13" s="47" t="str">
        <x:v>An incorrectly configured cloud database or storage resource could expose sensitive customer information to the internet.</x:v>
      </x:c>
      <x:c r="E13" s="53" t="n">
        <x:v>3</x:v>
      </x:c>
      <x:c r="F13" s="53" t="n">
        <x:v>5</x:v>
      </x:c>
      <x:c r="G13" s="56" t="n">
        <x:f>E13*F13</x:f>
        <x:v>15</x:v>
      </x:c>
      <x:c r="H13" s="53" t="str">
        <x:f>IF(G13&lt;=4,"Low",IF(G13&lt;=9,"Moderate",IF(G13&lt;=16,"High","Critical")))</x:f>
        <x:v>High</x:v>
      </x:c>
      <x:c r="I13" s="47" t="str">
        <x:v>Restricted cloud accounts; limited configuration reviews</x:v>
      </x:c>
      <x:c r="J13" s="53" t="str">
        <x:v>Partial</x:v>
      </x:c>
      <x:c r="K13" s="53" t="n">
        <x:v>2</x:v>
      </x:c>
      <x:c r="L13" s="53" t="n">
        <x:v>5</x:v>
      </x:c>
      <x:c r="M13" s="56" t="n">
        <x:f>K13*L13</x:f>
        <x:v>10</x:v>
      </x:c>
      <x:c r="N13" s="53" t="str">
        <x:f>IF(M13&lt;=4,"Low",IF(M13&lt;=9,"Moderate",IF(M13&lt;=16,"High","Critical")))</x:f>
        <x:v>High</x:v>
      </x:c>
      <x:c r="O13" s="53" t="str">
        <x:v>Mitigate</x:v>
      </x:c>
      <x:c r="P13" s="53" t="str">
        <x:v>IT / Cloud Engineering</x:v>
      </x:c>
      <x:c r="Q13" s="53" t="str">
        <x:v>Open</x:v>
      </x:c>
      <x:c r="R13" s="59" t="n">
        <x:v>46310</x:v>
      </x:c>
      <x:c r="S13" s="47" t="str">
        <x:v>Implement configuration scanning, approved baselines, encryption checks, and recurring cloud reviews.</x:v>
      </x:c>
      <x:c r="T13" s="47"/>
      <x:c r="U13" s="47" t="str">
        <x:v>Pending review</x:v>
      </x:c>
    </x:row>
    <x:row r="14" ht="21.600000381469727" hidden="0" customHeight="1">
      <x:c r="A14" s="50" t="str">
        <x:v>TRN-R003</x:v>
      </x:c>
      <x:c r="B14" s="47" t="str">
        <x:v>TRN-A003; TRN-A004</x:v>
      </x:c>
      <x:c r="C14" s="47" t="str">
        <x:v>Excessive privileged access</x:v>
      </x:c>
      <x:c r="D14" s="47" t="str">
        <x:v>Too many employees or administrators could retain powerful access beyond what their jobs require.</x:v>
      </x:c>
      <x:c r="E14" s="53" t="n">
        <x:v>4</x:v>
      </x:c>
      <x:c r="F14" s="53" t="n">
        <x:v>4</x:v>
      </x:c>
      <x:c r="G14" s="56" t="n">
        <x:f>E14*F14</x:f>
        <x:v>16</x:v>
      </x:c>
      <x:c r="H14" s="53" t="str">
        <x:f>IF(G14&lt;=4,"Low",IF(G14&lt;=9,"Moderate",IF(G14&lt;=16,"High","Critical")))</x:f>
        <x:v>High</x:v>
      </x:c>
      <x:c r="I14" s="47" t="str">
        <x:v>Role-based access exists for major systems</x:v>
      </x:c>
      <x:c r="J14" s="53" t="str">
        <x:v>Weak</x:v>
      </x:c>
      <x:c r="K14" s="53" t="n">
        <x:v>3</x:v>
      </x:c>
      <x:c r="L14" s="53" t="n">
        <x:v>4</x:v>
      </x:c>
      <x:c r="M14" s="56" t="n">
        <x:f>K14*L14</x:f>
        <x:v>12</x:v>
      </x:c>
      <x:c r="N14" s="53" t="str">
        <x:f>IF(M14&lt;=4,"Low",IF(M14&lt;=9,"Moderate",IF(M14&lt;=16,"High","Critical")))</x:f>
        <x:v>High</x:v>
      </x:c>
      <x:c r="O14" s="53" t="str">
        <x:v>Mitigate</x:v>
      </x:c>
      <x:c r="P14" s="53" t="str">
        <x:v>Cybersecurity / IT</x:v>
      </x:c>
      <x:c r="Q14" s="53" t="str">
        <x:v>Open</x:v>
      </x:c>
      <x:c r="R14" s="59" t="n">
        <x:v>46341</x:v>
      </x:c>
      <x:c r="S14" s="47" t="str">
        <x:v>Create least-privilege roles, quarterly access reviews, privileged-access logs, and approval requirements.</x:v>
      </x:c>
      <x:c r="T14" s="47"/>
      <x:c r="U14" s="47" t="str">
        <x:v>Pending review</x:v>
      </x:c>
    </x:row>
    <x:row r="15" ht="21.600000381469727" hidden="0" customHeight="1">
      <x:c r="A15" s="50" t="str">
        <x:v>TRN-R004</x:v>
      </x:c>
      <x:c r="B15" s="47" t="str">
        <x:v>TRN-A010; TRN-A002</x:v>
      </x:c>
      <x:c r="C15" s="47" t="str">
        <x:v>Insecure wearable integration</x:v>
      </x:c>
      <x:c r="D15" s="47" t="str">
        <x:v>Weak API authentication or excessive permissions could expose or alter imported wearable and activity data.</x:v>
      </x:c>
      <x:c r="E15" s="53" t="n">
        <x:v>3</x:v>
      </x:c>
      <x:c r="F15" s="53" t="n">
        <x:v>4</x:v>
      </x:c>
      <x:c r="G15" s="56" t="n">
        <x:f>E15*F15</x:f>
        <x:v>12</x:v>
      </x:c>
      <x:c r="H15" s="53" t="str">
        <x:f>IF(G15&lt;=4,"Low",IF(G15&lt;=9,"Moderate",IF(G15&lt;=16,"High","Critical")))</x:f>
        <x:v>High</x:v>
      </x:c>
      <x:c r="I15" s="47" t="str">
        <x:v>OAuth used by supported providers; integration testing</x:v>
      </x:c>
      <x:c r="J15" s="53" t="str">
        <x:v>Partial</x:v>
      </x:c>
      <x:c r="K15" s="53" t="n">
        <x:v>2</x:v>
      </x:c>
      <x:c r="L15" s="53" t="n">
        <x:v>4</x:v>
      </x:c>
      <x:c r="M15" s="56" t="n">
        <x:f>K15*L15</x:f>
        <x:v>8</x:v>
      </x:c>
      <x:c r="N15" s="53" t="str">
        <x:f>IF(M15&lt;=4,"Low",IF(M15&lt;=9,"Moderate",IF(M15&lt;=16,"High","Critical")))</x:f>
        <x:v>Moderate</x:v>
      </x:c>
      <x:c r="O15" s="53" t="str">
        <x:v>Mitigate</x:v>
      </x:c>
      <x:c r="P15" s="53" t="str">
        <x:v>Software Development</x:v>
      </x:c>
      <x:c r="Q15" s="53" t="str">
        <x:v>Open</x:v>
      </x:c>
      <x:c r="R15" s="59" t="n">
        <x:v>46356</x:v>
      </x:c>
      <x:c r="S15" s="47" t="str">
        <x:v>Limit API scopes, protect tokens, validate inputs, monitor failures, and review provider security.</x:v>
      </x:c>
      <x:c r="T15" s="47"/>
      <x:c r="U15" s="47" t="str">
        <x:v>Pending review</x:v>
      </x:c>
    </x:row>
    <x:row r="16" ht="21.600000381469727" hidden="0" customHeight="1">
      <x:c r="A16" s="50" t="str">
        <x:v>TRN-R005</x:v>
      </x:c>
      <x:c r="B16" s="47" t="str">
        <x:v>TRN-A007; TRN-A008</x:v>
      </x:c>
      <x:c r="C16" s="47" t="str">
        <x:v>Remote endpoint compromise</x:v>
      </x:c>
      <x:c r="D16" s="47" t="str">
        <x:v>Malware or ransomware on an employee laptop could steal credentials, disrupt work, or provide access to company systems.</x:v>
      </x:c>
      <x:c r="E16" s="53" t="n">
        <x:v>4</x:v>
      </x:c>
      <x:c r="F16" s="53" t="n">
        <x:v>4</x:v>
      </x:c>
      <x:c r="G16" s="56" t="n">
        <x:f>E16*F16</x:f>
        <x:v>16</x:v>
      </x:c>
      <x:c r="H16" s="53" t="str">
        <x:f>IF(G16&lt;=4,"Low",IF(G16&lt;=9,"Moderate",IF(G16&lt;=16,"High","Critical")))</x:f>
        <x:v>High</x:v>
      </x:c>
      <x:c r="I16" s="47" t="str">
        <x:v>Company-issued laptops; antivirus; basic device management</x:v>
      </x:c>
      <x:c r="J16" s="53" t="str">
        <x:v>Partial</x:v>
      </x:c>
      <x:c r="K16" s="53" t="n">
        <x:v>3</x:v>
      </x:c>
      <x:c r="L16" s="53" t="n">
        <x:v>4</x:v>
      </x:c>
      <x:c r="M16" s="56" t="n">
        <x:f>K16*L16</x:f>
        <x:v>12</x:v>
      </x:c>
      <x:c r="N16" s="53" t="str">
        <x:f>IF(M16&lt;=4,"Low",IF(M16&lt;=9,"Moderate",IF(M16&lt;=16,"High","Critical")))</x:f>
        <x:v>High</x:v>
      </x:c>
      <x:c r="O16" s="53" t="str">
        <x:v>Mitigate</x:v>
      </x:c>
      <x:c r="P16" s="53" t="str">
        <x:v>IT Support</x:v>
      </x:c>
      <x:c r="Q16" s="53" t="str">
        <x:v>In Progress</x:v>
      </x:c>
      <x:c r="R16" s="59" t="n">
        <x:v>46326</x:v>
      </x:c>
      <x:c r="S16" s="47" t="str">
        <x:v>Deploy managed endpoint detection, encryption, patch enforcement, phishing training, and remote wipe.</x:v>
      </x:c>
      <x:c r="T16" s="47"/>
      <x:c r="U16" s="47" t="str">
        <x:v>Pending review</x:v>
      </x:c>
    </x:row>
    <x:row r="17" ht="21.600000381469727" hidden="0" customHeight="1">
      <x:c r="A17" s="50" t="str">
        <x:v>TRN-R006</x:v>
      </x:c>
      <x:c r="B17" s="47" t="str">
        <x:v>TRN-A001</x:v>
      </x:c>
      <x:c r="C17" s="47" t="str">
        <x:v>Unpatched application vulnerability</x:v>
      </x:c>
      <x:c r="D17" s="47" t="str">
        <x:v>Known or newly introduced software vulnerabilities could be exploited before Trainory identifies and corrects them.</x:v>
      </x:c>
      <x:c r="E17" s="53" t="n">
        <x:v>4</x:v>
      </x:c>
      <x:c r="F17" s="53" t="n">
        <x:v>5</x:v>
      </x:c>
      <x:c r="G17" s="56" t="n">
        <x:f>E17*F17</x:f>
        <x:v>20</x:v>
      </x:c>
      <x:c r="H17" s="53" t="str">
        <x:f>IF(G17&lt;=4,"Low",IF(G17&lt;=9,"Moderate",IF(G17&lt;=16,"High","Critical")))</x:f>
        <x:v>Critical</x:v>
      </x:c>
      <x:c r="I17" s="47" t="str">
        <x:v>Developer reviews; dependency updates performed inconsistently</x:v>
      </x:c>
      <x:c r="J17" s="53" t="str">
        <x:v>Weak</x:v>
      </x:c>
      <x:c r="K17" s="53" t="n">
        <x:v>3</x:v>
      </x:c>
      <x:c r="L17" s="53" t="n">
        <x:v>5</x:v>
      </x:c>
      <x:c r="M17" s="56" t="n">
        <x:f>K17*L17</x:f>
        <x:v>15</x:v>
      </x:c>
      <x:c r="N17" s="53" t="str">
        <x:f>IF(M17&lt;=4,"Low",IF(M17&lt;=9,"Moderate",IF(M17&lt;=16,"High","Critical")))</x:f>
        <x:v>High</x:v>
      </x:c>
      <x:c r="O17" s="53" t="str">
        <x:v>Mitigate</x:v>
      </x:c>
      <x:c r="P17" s="53" t="str">
        <x:v>Software Development</x:v>
      </x:c>
      <x:c r="Q17" s="53" t="str">
        <x:v>Open</x:v>
      </x:c>
      <x:c r="R17" s="59" t="n">
        <x:v>46310</x:v>
      </x:c>
      <x:c r="S17" s="47" t="str">
        <x:v>Add automated dependency, code, and application scanning with severity-based remediation deadlines.</x:v>
      </x:c>
      <x:c r="T17" s="47"/>
      <x:c r="U17" s="47" t="str">
        <x:v>Pending review</x:v>
      </x:c>
    </x:row>
    <x:row r="18" ht="21.600000381469727" hidden="0" customHeight="1">
      <x:c r="A18" s="50" t="str">
        <x:v>TRN-R007</x:v>
      </x:c>
      <x:c r="B18" s="47" t="str">
        <x:v>TRN-A005</x:v>
      </x:c>
      <x:c r="C18" s="47" t="str">
        <x:v>Source-code or secret exposure</x:v>
      </x:c>
      <x:c r="D18" s="47" t="str">
        <x:v>Credentials, API keys, or sensitive code could be committed to GitHub or accessed through a compromised developer account.</x:v>
      </x:c>
      <x:c r="E18" s="53" t="n">
        <x:v>3</x:v>
      </x:c>
      <x:c r="F18" s="53" t="n">
        <x:v>5</x:v>
      </x:c>
      <x:c r="G18" s="56" t="n">
        <x:f>E18*F18</x:f>
        <x:v>15</x:v>
      </x:c>
      <x:c r="H18" s="53" t="str">
        <x:f>IF(G18&lt;=4,"Low",IF(G18&lt;=9,"Moderate",IF(G18&lt;=16,"High","Critical")))</x:f>
        <x:v>High</x:v>
      </x:c>
      <x:c r="I18" s="47" t="str">
        <x:v>Private repositories; employee MFA</x:v>
      </x:c>
      <x:c r="J18" s="53" t="str">
        <x:v>Partial</x:v>
      </x:c>
      <x:c r="K18" s="53" t="n">
        <x:v>2</x:v>
      </x:c>
      <x:c r="L18" s="53" t="n">
        <x:v>5</x:v>
      </x:c>
      <x:c r="M18" s="56" t="n">
        <x:f>K18*L18</x:f>
        <x:v>10</x:v>
      </x:c>
      <x:c r="N18" s="53" t="str">
        <x:f>IF(M18&lt;=4,"Low",IF(M18&lt;=9,"Moderate",IF(M18&lt;=16,"High","Critical")))</x:f>
        <x:v>High</x:v>
      </x:c>
      <x:c r="O18" s="53" t="str">
        <x:v>Mitigate</x:v>
      </x:c>
      <x:c r="P18" s="53" t="str">
        <x:v>Software Development</x:v>
      </x:c>
      <x:c r="Q18" s="53" t="str">
        <x:v>Open</x:v>
      </x:c>
      <x:c r="R18" s="59" t="n">
        <x:v>46326</x:v>
      </x:c>
      <x:c r="S18" s="47" t="str">
        <x:v>Enable secret scanning, protected branches, least privilege, code-owner approvals, and key rotation procedures.</x:v>
      </x:c>
      <x:c r="T18" s="47"/>
      <x:c r="U18" s="47" t="str">
        <x:v>Pending review</x:v>
      </x:c>
    </x:row>
    <x:row r="19" ht="21.600000381469727" hidden="0" customHeight="1">
      <x:c r="A19" s="50" t="str">
        <x:v>TRN-R008</x:v>
      </x:c>
      <x:c r="B19" s="47" t="str">
        <x:v>TRN-A006; TRN-A003</x:v>
      </x:c>
      <x:c r="C19" s="47" t="str">
        <x:v>Unauthorized production change</x:v>
      </x:c>
      <x:c r="D19" s="47" t="str">
        <x:v>An unapproved or malicious pipeline change could deploy insecure code or disrupt the production application.</x:v>
      </x:c>
      <x:c r="E19" s="53" t="n">
        <x:v>3</x:v>
      </x:c>
      <x:c r="F19" s="53" t="n">
        <x:v>5</x:v>
      </x:c>
      <x:c r="G19" s="56" t="n">
        <x:f>E19*F19</x:f>
        <x:v>15</x:v>
      </x:c>
      <x:c r="H19" s="53" t="str">
        <x:f>IF(G19&lt;=4,"Low",IF(G19&lt;=9,"Moderate",IF(G19&lt;=16,"High","Critical")))</x:f>
        <x:v>High</x:v>
      </x:c>
      <x:c r="I19" s="47" t="str">
        <x:v>Pull-request reviews; limited deployment permissions</x:v>
      </x:c>
      <x:c r="J19" s="53" t="str">
        <x:v>Partial</x:v>
      </x:c>
      <x:c r="K19" s="53" t="n">
        <x:v>2</x:v>
      </x:c>
      <x:c r="L19" s="53" t="n">
        <x:v>5</x:v>
      </x:c>
      <x:c r="M19" s="56" t="n">
        <x:f>K19*L19</x:f>
        <x:v>10</x:v>
      </x:c>
      <x:c r="N19" s="53" t="str">
        <x:f>IF(M19&lt;=4,"Low",IF(M19&lt;=9,"Moderate",IF(M19&lt;=16,"High","Critical")))</x:f>
        <x:v>High</x:v>
      </x:c>
      <x:c r="O19" s="53" t="str">
        <x:v>Mitigate</x:v>
      </x:c>
      <x:c r="P19" s="53" t="str">
        <x:v>DevOps</x:v>
      </x:c>
      <x:c r="Q19" s="53" t="str">
        <x:v>Open</x:v>
      </x:c>
      <x:c r="R19" s="59" t="n">
        <x:v>46341</x:v>
      </x:c>
      <x:c r="S19" s="47" t="str">
        <x:v>Require protected approvals, signed artifacts, separated duties, deployment logs, and rollback testing.</x:v>
      </x:c>
      <x:c r="T19" s="47"/>
      <x:c r="U19" s="47" t="str">
        <x:v>Pending review</x:v>
      </x:c>
    </x:row>
    <x:row r="20" ht="21.600000381469727" hidden="0" customHeight="1">
      <x:c r="A20" s="50" t="str">
        <x:v>TRN-R009</x:v>
      </x:c>
      <x:c r="B20" s="47" t="str">
        <x:v>TRN-A009</x:v>
      </x:c>
      <x:c r="C20" s="47" t="str">
        <x:v>Payment provider disruption</x:v>
      </x:c>
      <x:c r="D20" s="47" t="str">
        <x:v>A security incident or outage at the payment provider could interrupt subscriptions or expose limited customer billing information.</x:v>
      </x:c>
      <x:c r="E20" s="53" t="n">
        <x:v>3</x:v>
      </x:c>
      <x:c r="F20" s="53" t="n">
        <x:v>4</x:v>
      </x:c>
      <x:c r="G20" s="56" t="n">
        <x:f>E20*F20</x:f>
        <x:v>12</x:v>
      </x:c>
      <x:c r="H20" s="53" t="str">
        <x:f>IF(G20&lt;=4,"Low",IF(G20&lt;=9,"Moderate",IF(G20&lt;=16,"High","Critical")))</x:f>
        <x:v>High</x:v>
      </x:c>
      <x:c r="I20" s="47" t="str">
        <x:v>Card data handled by provider; service agreement</x:v>
      </x:c>
      <x:c r="J20" s="53" t="str">
        <x:v>Partial</x:v>
      </x:c>
      <x:c r="K20" s="53" t="n">
        <x:v>2</x:v>
      </x:c>
      <x:c r="L20" s="53" t="n">
        <x:v>4</x:v>
      </x:c>
      <x:c r="M20" s="56" t="n">
        <x:f>K20*L20</x:f>
        <x:v>8</x:v>
      </x:c>
      <x:c r="N20" s="53" t="str">
        <x:f>IF(M20&lt;=4,"Low",IF(M20&lt;=9,"Moderate",IF(M20&lt;=16,"High","Critical")))</x:f>
        <x:v>Moderate</x:v>
      </x:c>
      <x:c r="O20" s="53" t="str">
        <x:v>Transfer</x:v>
      </x:c>
      <x:c r="P20" s="53" t="str">
        <x:v>Finance</x:v>
      </x:c>
      <x:c r="Q20" s="53" t="str">
        <x:v>Monitoring</x:v>
      </x:c>
      <x:c r="R20" s="59" t="n">
        <x:v>46371</x:v>
      </x:c>
      <x:c r="S20" s="47" t="str">
        <x:v>Review assurance reports, breach terms, availability commitments, and contingency procedures annually.</x:v>
      </x:c>
      <x:c r="T20" s="47"/>
      <x:c r="U20" s="47" t="str">
        <x:v>Pending review</x:v>
      </x:c>
    </x:row>
    <x:row r="21" ht="21.600000381469727" hidden="0" customHeight="1">
      <x:c r="A21" s="50" t="str">
        <x:v>TRN-R010</x:v>
      </x:c>
      <x:c r="B21" s="47" t="str">
        <x:v>TRN-A008</x:v>
      </x:c>
      <x:c r="C21" s="47" t="str">
        <x:v>Email phishing and takeover</x:v>
      </x:c>
      <x:c r="D21" s="47" t="str">
        <x:v>A successful phishing attack could compromise an employee mailbox and enable fraud, data theft, or additional account compromise.</x:v>
      </x:c>
      <x:c r="E21" s="53" t="n">
        <x:v>4</x:v>
      </x:c>
      <x:c r="F21" s="53" t="n">
        <x:v>4</x:v>
      </x:c>
      <x:c r="G21" s="56" t="n">
        <x:f>E21*F21</x:f>
        <x:v>16</x:v>
      </x:c>
      <x:c r="H21" s="53" t="str">
        <x:f>IF(G21&lt;=4,"Low",IF(G21&lt;=9,"Moderate",IF(G21&lt;=16,"High","Critical")))</x:f>
        <x:v>High</x:v>
      </x:c>
      <x:c r="I21" s="47" t="str">
        <x:v>Employee MFA; spam filtering</x:v>
      </x:c>
      <x:c r="J21" s="53" t="str">
        <x:v>Partial</x:v>
      </x:c>
      <x:c r="K21" s="53" t="n">
        <x:v>3</x:v>
      </x:c>
      <x:c r="L21" s="53" t="n">
        <x:v>4</x:v>
      </x:c>
      <x:c r="M21" s="56" t="n">
        <x:f>K21*L21</x:f>
        <x:v>12</x:v>
      </x:c>
      <x:c r="N21" s="53" t="str">
        <x:f>IF(M21&lt;=4,"Low",IF(M21&lt;=9,"Moderate",IF(M21&lt;=16,"High","Critical")))</x:f>
        <x:v>High</x:v>
      </x:c>
      <x:c r="O21" s="53" t="str">
        <x:v>Mitigate</x:v>
      </x:c>
      <x:c r="P21" s="53" t="str">
        <x:v>Cybersecurity / IT</x:v>
      </x:c>
      <x:c r="Q21" s="53" t="str">
        <x:v>In Progress</x:v>
      </x:c>
      <x:c r="R21" s="59" t="n">
        <x:v>46310</x:v>
      </x:c>
      <x:c r="S21" s="47" t="str">
        <x:v>Provide recurring phishing training, restrict legacy authentication, add conditional access, and monitor risky sign-ins.</x:v>
      </x:c>
      <x:c r="T21" s="47"/>
      <x:c r="U21" s="47" t="str">
        <x:v>Pending review</x:v>
      </x:c>
    </x:row>
    <x:row r="22" ht="21.600000381469727" hidden="0" customHeight="1">
      <x:c r="A22" s="50" t="str">
        <x:v>TRN-R011</x:v>
      </x:c>
      <x:c r="B22" s="47" t="str">
        <x:v>TRN-A012</x:v>
      </x:c>
      <x:c r="C22" s="47" t="str">
        <x:v>Backup restoration failure</x:v>
      </x:c>
      <x:c r="D22" s="47" t="str">
        <x:v>Backups may be incomplete, unavailable, or unusable during a ransomware event or major service failure.</x:v>
      </x:c>
      <x:c r="E22" s="53" t="n">
        <x:v>3</x:v>
      </x:c>
      <x:c r="F22" s="53" t="n">
        <x:v>5</x:v>
      </x:c>
      <x:c r="G22" s="56" t="n">
        <x:f>E22*F22</x:f>
        <x:v>15</x:v>
      </x:c>
      <x:c r="H22" s="53" t="str">
        <x:f>IF(G22&lt;=4,"Low",IF(G22&lt;=9,"Moderate",IF(G22&lt;=16,"High","Critical")))</x:f>
        <x:v>High</x:v>
      </x:c>
      <x:c r="I22" s="47" t="str">
        <x:v>Automated backups are enabled</x:v>
      </x:c>
      <x:c r="J22" s="53" t="str">
        <x:v>Weak</x:v>
      </x:c>
      <x:c r="K22" s="53" t="n">
        <x:v>3</x:v>
      </x:c>
      <x:c r="L22" s="53" t="n">
        <x:v>4</x:v>
      </x:c>
      <x:c r="M22" s="56" t="n">
        <x:f>K22*L22</x:f>
        <x:v>12</x:v>
      </x:c>
      <x:c r="N22" s="53" t="str">
        <x:f>IF(M22&lt;=4,"Low",IF(M22&lt;=9,"Moderate",IF(M22&lt;=16,"High","Critical")))</x:f>
        <x:v>High</x:v>
      </x:c>
      <x:c r="O22" s="53" t="str">
        <x:v>Mitigate</x:v>
      </x:c>
      <x:c r="P22" s="53" t="str">
        <x:v>IT / Cloud Engineering</x:v>
      </x:c>
      <x:c r="Q22" s="53" t="str">
        <x:v>Open</x:v>
      </x:c>
      <x:c r="R22" s="59" t="n">
        <x:v>46356</x:v>
      </x:c>
      <x:c r="S22" s="47" t="str">
        <x:v>Define recovery objectives, protect backup access, retain isolated copies, and test restoration quarterly.</x:v>
      </x:c>
      <x:c r="T22" s="47"/>
      <x:c r="U22" s="47" t="str">
        <x:v>Pending review</x:v>
      </x:c>
    </x:row>
    <x:row r="23" ht="21.600000381469727" hidden="0" customHeight="1">
      <x:c r="A23" s="50" t="str">
        <x:v>TRN-R012</x:v>
      </x:c>
      <x:c r="B23" s="47" t="str">
        <x:v>TRN-A013</x:v>
      </x:c>
      <x:c r="C23" s="47" t="str">
        <x:v>Insufficient security monitoring</x:v>
      </x:c>
      <x:c r="D23" s="47" t="str">
        <x:v>Missing or unreviewed logs could prevent Trainory from quickly detecting and investigating suspicious activity.</x:v>
      </x:c>
      <x:c r="E23" s="53" t="n">
        <x:v>4</x:v>
      </x:c>
      <x:c r="F23" s="53" t="n">
        <x:v>4</x:v>
      </x:c>
      <x:c r="G23" s="56" t="n">
        <x:f>E23*F23</x:f>
        <x:v>16</x:v>
      </x:c>
      <x:c r="H23" s="53" t="str">
        <x:f>IF(G23&lt;=4,"Low",IF(G23&lt;=9,"Moderate",IF(G23&lt;=16,"High","Critical")))</x:f>
        <x:v>High</x:v>
      </x:c>
      <x:c r="I23" s="47" t="str">
        <x:v>Major AWS and authentication logs are retained</x:v>
      </x:c>
      <x:c r="J23" s="53" t="str">
        <x:v>Weak</x:v>
      </x:c>
      <x:c r="K23" s="53" t="n">
        <x:v>3</x:v>
      </x:c>
      <x:c r="L23" s="53" t="n">
        <x:v>4</x:v>
      </x:c>
      <x:c r="M23" s="56" t="n">
        <x:f>K23*L23</x:f>
        <x:v>12</x:v>
      </x:c>
      <x:c r="N23" s="53" t="str">
        <x:f>IF(M23&lt;=4,"Low",IF(M23&lt;=9,"Moderate",IF(M23&lt;=16,"High","Critical")))</x:f>
        <x:v>High</x:v>
      </x:c>
      <x:c r="O23" s="53" t="str">
        <x:v>Mitigate</x:v>
      </x:c>
      <x:c r="P23" s="53" t="str">
        <x:v>Cybersecurity / IT</x:v>
      </x:c>
      <x:c r="Q23" s="53" t="str">
        <x:v>Open</x:v>
      </x:c>
      <x:c r="R23" s="59" t="n">
        <x:v>46341</x:v>
      </x:c>
      <x:c r="S23" s="47" t="str">
        <x:v>Centralize critical logs, define alerts, document review responsibilities, and test incident escalation.</x:v>
      </x:c>
      <x:c r="T23" s="47"/>
      <x:c r="U23" s="47" t="str">
        <x:v>Pending review</x:v>
      </x:c>
    </x:row>
    <x:row r="24" ht="21.600000381469727" hidden="0" customHeight="1">
      <x:c r="A24" s="50" t="str">
        <x:v>TRN-R013</x:v>
      </x:c>
      <x:c r="B24" s="47" t="str">
        <x:v>TRN-A002; TRN-A010</x:v>
      </x:c>
      <x:c r="C24" s="47" t="str">
        <x:v>Inadequate privacy and consent</x:v>
      </x:c>
      <x:c r="D24" s="47" t="str">
        <x:v>Trainory could collect or share wellness data without clear notice, appropriate consent, or reliable deletion processes.</x:v>
      </x:c>
      <x:c r="E24" s="53" t="n">
        <x:v>3</x:v>
      </x:c>
      <x:c r="F24" s="53" t="n">
        <x:v>5</x:v>
      </x:c>
      <x:c r="G24" s="56" t="n">
        <x:f>E24*F24</x:f>
        <x:v>15</x:v>
      </x:c>
      <x:c r="H24" s="53" t="str">
        <x:f>IF(G24&lt;=4,"Low",IF(G24&lt;=9,"Moderate",IF(G24&lt;=16,"High","Critical")))</x:f>
        <x:v>High</x:v>
      </x:c>
      <x:c r="I24" s="47" t="str">
        <x:v>Privacy notice; basic account settings</x:v>
      </x:c>
      <x:c r="J24" s="53" t="str">
        <x:v>Weak</x:v>
      </x:c>
      <x:c r="K24" s="53" t="n">
        <x:v>3</x:v>
      </x:c>
      <x:c r="L24" s="53" t="n">
        <x:v>4</x:v>
      </x:c>
      <x:c r="M24" s="56" t="n">
        <x:f>K24*L24</x:f>
        <x:v>12</x:v>
      </x:c>
      <x:c r="N24" s="53" t="str">
        <x:f>IF(M24&lt;=4,"Low",IF(M24&lt;=9,"Moderate",IF(M24&lt;=16,"High","Critical")))</x:f>
        <x:v>High</x:v>
      </x:c>
      <x:c r="O24" s="53" t="str">
        <x:v>Mitigate</x:v>
      </x:c>
      <x:c r="P24" s="53" t="str">
        <x:v>Legal / Compliance</x:v>
      </x:c>
      <x:c r="Q24" s="53" t="str">
        <x:v>Open</x:v>
      </x:c>
      <x:c r="R24" s="59" t="n">
        <x:v>46371</x:v>
      </x:c>
      <x:c r="S24" s="47" t="str">
        <x:v>Create a data inventory, consent records, retention rules, deletion workflow, and privacy review process.</x:v>
      </x:c>
      <x:c r="T24" s="47"/>
      <x:c r="U24" s="47" t="str">
        <x:v>Pending review</x:v>
      </x:c>
    </x:row>
    <x:row r="25" ht="21.600000381469727" hidden="0" customHeight="1">
      <x:c r="A25" s="50" t="str">
        <x:v>TRN-R014</x:v>
      </x:c>
      <x:c r="B25" s="47" t="str">
        <x:v>TRN-A004; TRN-A007</x:v>
      </x:c>
      <x:c r="C25" s="47" t="str">
        <x:v>Delayed access removal</x:v>
      </x:c>
      <x:c r="D25" s="47" t="str">
        <x:v>A departing employee could retain access to company systems because offboarding is late or incomplete.</x:v>
      </x:c>
      <x:c r="E25" s="53" t="n">
        <x:v>3</x:v>
      </x:c>
      <x:c r="F25" s="53" t="n">
        <x:v>4</x:v>
      </x:c>
      <x:c r="G25" s="56" t="n">
        <x:f>E25*F25</x:f>
        <x:v>12</x:v>
      </x:c>
      <x:c r="H25" s="53" t="str">
        <x:f>IF(G25&lt;=4,"Low",IF(G25&lt;=9,"Moderate",IF(G25&lt;=16,"High","Critical")))</x:f>
        <x:v>High</x:v>
      </x:c>
      <x:c r="I25" s="47" t="str">
        <x:v>HR notifies IT through email</x:v>
      </x:c>
      <x:c r="J25" s="53" t="str">
        <x:v>Weak</x:v>
      </x:c>
      <x:c r="K25" s="53" t="n">
        <x:v>2</x:v>
      </x:c>
      <x:c r="L25" s="53" t="n">
        <x:v>4</x:v>
      </x:c>
      <x:c r="M25" s="56" t="n">
        <x:f>K25*L25</x:f>
        <x:v>8</x:v>
      </x:c>
      <x:c r="N25" s="53" t="str">
        <x:f>IF(M25&lt;=4,"Low",IF(M25&lt;=9,"Moderate",IF(M25&lt;=16,"High","Critical")))</x:f>
        <x:v>Moderate</x:v>
      </x:c>
      <x:c r="O25" s="53" t="str">
        <x:v>Mitigate</x:v>
      </x:c>
      <x:c r="P25" s="53" t="str">
        <x:v>Human Resources / IT</x:v>
      </x:c>
      <x:c r="Q25" s="53" t="str">
        <x:v>Open</x:v>
      </x:c>
      <x:c r="R25" s="59" t="n">
        <x:v>46326</x:v>
      </x:c>
      <x:c r="S25" s="47" t="str">
        <x:v>Use an offboarding checklist, centralized account inventory, immediate disablement, and completion evidence.</x:v>
      </x:c>
      <x:c r="T25" s="47"/>
      <x:c r="U25" s="47" t="str">
        <x:v>Pending review</x:v>
      </x:c>
    </x:row>
    <x:row r="26" ht="21.600000381469727" hidden="0" customHeight="1">
      <x:c r="A26" s="51" t="str">
        <x:v>TRN-R015</x:v>
      </x:c>
      <x:c r="B26" s="48" t="str">
        <x:v>TRN-A001; TRN-A003</x:v>
      </x:c>
      <x:c r="C26" s="48" t="str">
        <x:v>Application outage or denial of service</x:v>
      </x:c>
      <x:c r="D26" s="48" t="str">
        <x:v>Heavy traffic, malicious activity, or cloud failure could make the Trainory platform unavailable to customers.</x:v>
      </x:c>
      <x:c r="E26" s="54" t="n">
        <x:v>3</x:v>
      </x:c>
      <x:c r="F26" s="54" t="n">
        <x:v>4</x:v>
      </x:c>
      <x:c r="G26" s="57" t="n">
        <x:f>E26*F26</x:f>
        <x:v>12</x:v>
      </x:c>
      <x:c r="H26" s="54" t="str">
        <x:f>IF(G26&lt;=4,"Low",IF(G26&lt;=9,"Moderate",IF(G26&lt;=16,"High","Critical")))</x:f>
        <x:v>High</x:v>
      </x:c>
      <x:c r="I26" s="48" t="str">
        <x:v>AWS availability features; basic monitoring</x:v>
      </x:c>
      <x:c r="J26" s="54" t="str">
        <x:v>Partial</x:v>
      </x:c>
      <x:c r="K26" s="54" t="n">
        <x:v>2</x:v>
      </x:c>
      <x:c r="L26" s="54" t="n">
        <x:v>4</x:v>
      </x:c>
      <x:c r="M26" s="57" t="n">
        <x:f>K26*L26</x:f>
        <x:v>8</x:v>
      </x:c>
      <x:c r="N26" s="54" t="str">
        <x:f>IF(M26&lt;=4,"Low",IF(M26&lt;=9,"Moderate",IF(M26&lt;=16,"High","Critical")))</x:f>
        <x:v>Moderate</x:v>
      </x:c>
      <x:c r="O26" s="54" t="str">
        <x:v>Mitigate</x:v>
      </x:c>
      <x:c r="P26" s="54" t="str">
        <x:v>IT / Cloud Engineering</x:v>
      </x:c>
      <x:c r="Q26" s="54" t="str">
        <x:v>Monitoring</x:v>
      </x:c>
      <x:c r="R26" s="60" t="n">
        <x:v>46402</x:v>
      </x:c>
      <x:c r="S26" s="48" t="str">
        <x:v>Define uptime targets, add rate limiting and scaling alerts, test failover, and document customer communications.</x:v>
      </x:c>
      <x:c r="T26" s="48"/>
      <x:c r="U26" s="48" t="str">
        <x:v>Pending review</x:v>
      </x:c>
    </x:row>
  </x:sheetData>
  <x:mergeCells>
    <x:mergeCell ref="A1:U1"/>
    <x:mergeCell ref="A2:U2"/>
    <x:mergeCell ref="D6:H6"/>
    <x:mergeCell ref="D7:H7"/>
  </x:mergeCells>
  <x:conditionalFormatting sqref="H12:H111">
    <x:cfRule type="containsText" dxfId="0" priority="1" operator="containsText" text="Critical"/>
    <x:cfRule type="containsText" dxfId="1" priority="2" operator="containsText" text="High"/>
    <x:cfRule type="containsText" dxfId="2" priority="3" operator="containsText" text="Moderate"/>
    <x:cfRule type="containsText" dxfId="3" priority="4" operator="containsText" text="Low"/>
  </x:conditionalFormatting>
  <x:conditionalFormatting sqref="N12:N111">
    <x:cfRule type="containsText" dxfId="4" priority="5" operator="containsText" text="Critical"/>
    <x:cfRule type="containsText" dxfId="5" priority="6" operator="containsText" text="High"/>
    <x:cfRule type="containsText" dxfId="6" priority="7" operator="containsText" text="Moderate"/>
    <x:cfRule type="containsText" dxfId="7" priority="8" operator="containsText" text="Low"/>
  </x:conditionalFormatting>
  <x:conditionalFormatting sqref="U12:U111">
    <x:cfRule type="containsText" dxfId="8" priority="9" operator="containsText" text="Pending review"/>
  </x:conditionalFormatting>
  <x:dataValidations count="6">
    <x:dataValidation type="whole" operator="between" sqref="E12:F111">
      <x:formula1>1</x:formula1>
      <x:formula2>5</x:formula2>
    </x:dataValidation>
    <x:dataValidation type="whole" operator="between" sqref="K12:L111">
      <x:formula1>1</x:formula1>
      <x:formula2>5</x:formula2>
    </x:dataValidation>
    <x:dataValidation type="list" sqref="J12:J111">
      <x:formula1>"None,Weak,Partial,Effective"</x:formula1>
    </x:dataValidation>
    <x:dataValidation type="list" sqref="O12:O111">
      <x:formula1>"Avoid,Mitigate,Transfer,Accept"</x:formula1>
    </x:dataValidation>
    <x:dataValidation type="list" sqref="Q12:Q111">
      <x:formula1>"Open,In Progress,Monitoring,Closed"</x:formula1>
    </x:dataValidation>
    <x:dataValidation type="list" sqref="U12:U111">
      <x:formula1>"Pending review,Approved,Revise,Rejected"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666126c229e45d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2" hidden="0" customWidth="1"/>
    <x:col min="4" max="4" width="14" hidden="0" customWidth="1"/>
    <x:col min="5" max="5" width="58" hidden="0" customWidth="1"/>
    <x:col min="6" max="6" width="18" hidden="0" customWidth="1"/>
  </x:cols>
  <x:sheetData>
    <x:row r="1" ht="28" customHeight="1">
      <x:c r="A1" s="110" t="str">
        <x:v>Trainory Risk Scoring Guide</x:v>
      </x:c>
      <x:c r="B1" s="110" t="str">
        <x:v>Trainory Risk Scoring Guide</x:v>
      </x:c>
      <x:c r="C1" s="110" t="str">
        <x:v>Trainory Risk Scoring Guide</x:v>
      </x:c>
      <x:c r="D1" s="110" t="str">
        <x:v>Trainory Risk Scoring Guide</x:v>
      </x:c>
      <x:c r="E1" s="110" t="str">
        <x:v>Trainory Risk Scoring Guide</x:v>
      </x:c>
      <x:c r="F1" s="2"/>
    </x:row>
    <x:row r="3">
      <x:c r="A3" s="7" t="str">
        <x:v>Likelihood</x:v>
      </x:c>
      <x:c r="B3" s="7" t="str">
        <x:v>Meaning</x:v>
      </x:c>
      <x:c r="D3" s="7" t="str">
        <x:v>Impact</x:v>
      </x:c>
      <x:c r="E3" s="7" t="str">
        <x:v>Meaning</x:v>
      </x:c>
    </x:row>
    <x:row r="4" ht="15" hidden="0" customHeight="1">
      <x:c r="A4" s="65" t="n">
        <x:v>1</x:v>
      </x:c>
      <x:c r="B4" s="65" t="str">
        <x:v>Rare</x:v>
      </x:c>
      <x:c r="D4" s="65" t="n">
        <x:v>1</x:v>
      </x:c>
      <x:c r="E4" s="65" t="str">
        <x:v>Minimal operational or customer effect</x:v>
      </x:c>
    </x:row>
    <x:row r="5" ht="15" hidden="0" customHeight="1">
      <x:c r="A5" s="66" t="n">
        <x:v>2</x:v>
      </x:c>
      <x:c r="B5" s="66" t="str">
        <x:v>Unlikely</x:v>
      </x:c>
      <x:c r="D5" s="66" t="n">
        <x:v>2</x:v>
      </x:c>
      <x:c r="E5" s="66" t="str">
        <x:v>Limited and quickly recoverable effect</x:v>
      </x:c>
    </x:row>
    <x:row r="6" ht="15" hidden="0" customHeight="1">
      <x:c r="A6" s="66" t="n">
        <x:v>3</x:v>
      </x:c>
      <x:c r="B6" s="66" t="str">
        <x:v>Possible</x:v>
      </x:c>
      <x:c r="D6" s="66" t="n">
        <x:v>3</x:v>
      </x:c>
      <x:c r="E6" s="66" t="str">
        <x:v>Noticeable business, customer, or compliance effect</x:v>
      </x:c>
    </x:row>
    <x:row r="7" ht="15" hidden="0" customHeight="1">
      <x:c r="A7" s="66" t="n">
        <x:v>4</x:v>
      </x:c>
      <x:c r="B7" s="66" t="str">
        <x:v>Likely</x:v>
      </x:c>
      <x:c r="D7" s="66" t="n">
        <x:v>4</x:v>
      </x:c>
      <x:c r="E7" s="66" t="str">
        <x:v>Major financial, operational, privacy, or reputational harm</x:v>
      </x:c>
    </x:row>
    <x:row r="8" ht="15" hidden="0" customHeight="1">
      <x:c r="A8" s="67" t="n">
        <x:v>5</x:v>
      </x:c>
      <x:c r="B8" s="67" t="str">
        <x:v>Almost certain</x:v>
      </x:c>
      <x:c r="D8" s="67" t="n">
        <x:v>5</x:v>
      </x:c>
      <x:c r="E8" s="67" t="str">
        <x:v>Severe or prolonged harm affecting customers or core operations</x:v>
      </x:c>
    </x:row>
    <x:row r="10">
      <x:c r="A10" s="7" t="str">
        <x:v>Score</x:v>
      </x:c>
      <x:c r="B10" s="7" t="str">
        <x:v>Rating</x:v>
      </x:c>
      <x:c r="D10" s="76"/>
      <x:c r="E10" s="76"/>
      <x:c r="F10" s="76"/>
    </x:row>
    <x:row r="11">
      <x:c r="A11" s="69" t="str">
        <x:v>1-4</x:v>
      </x:c>
      <x:c r="B11" s="72" t="str">
        <x:v>Low</x:v>
      </x:c>
      <x:c r="D11" s="95"/>
      <x:c r="E11" s="96"/>
      <x:c r="F11" s="97"/>
    </x:row>
    <x:row r="12">
      <x:c r="A12" s="70" t="str">
        <x:v>5-9</x:v>
      </x:c>
      <x:c r="B12" s="73" t="str">
        <x:v>Moderate</x:v>
      </x:c>
      <x:c r="D12" s="98"/>
      <x:c r="E12" s="99"/>
      <x:c r="F12" s="100"/>
    </x:row>
    <x:row r="13">
      <x:c r="A13" s="70" t="str">
        <x:v>10-16</x:v>
      </x:c>
      <x:c r="B13" s="74" t="str">
        <x:v>High</x:v>
      </x:c>
      <x:c r="D13" s="98"/>
      <x:c r="E13" s="99"/>
      <x:c r="F13" s="100"/>
    </x:row>
    <x:row r="14">
      <x:c r="A14" s="71" t="str">
        <x:v>17-25</x:v>
      </x:c>
      <x:c r="B14" s="75" t="str">
        <x:v>Critical</x:v>
      </x:c>
      <x:c r="D14" s="98"/>
      <x:c r="E14" s="99"/>
      <x:c r="F14" s="100"/>
    </x:row>
    <x:row r="15">
      <x:c r="D15" s="101"/>
      <x:c r="E15" s="102"/>
      <x:c r="F15" s="103"/>
    </x:row>
  </x:sheetData>
  <x:mergeCells>
    <x:mergeCell ref="D10:F10"/>
    <x:mergeCell ref="D11:F15"/>
    <x:mergeCell ref="A1:E1"/>
  </x:mergeCells>
  <x:pageMargins left="0.7" right="0.7" top="0.75" bottom="0.75" header="0.3" footer="0.3"/>
</x:worksheet>
</file>