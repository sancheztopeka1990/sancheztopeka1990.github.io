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233bb5b662457b" /></Relationships>
</file>

<file path=xl/workbook.xml><?xml version="1.0" encoding="utf-8"?>
<x:workbook xmlns:x="http://schemas.openxmlformats.org/spreadsheetml/2006/main">
  <x:sheets>
    <x:sheet xmlns:r="http://schemas.openxmlformats.org/officeDocument/2006/relationships" name="Executive Summary" sheetId="1" r:id="R23413adfa8794e89"/>
    <x:sheet xmlns:r="http://schemas.openxmlformats.org/officeDocument/2006/relationships" name="Assessment" sheetId="2" r:id="R9ab9942343fa4049"/>
    <x:sheet xmlns:r="http://schemas.openxmlformats.org/officeDocument/2006/relationships" name="Findings" sheetId="3" r:id="R310bf0d6912140bf"/>
    <x:sheet xmlns:r="http://schemas.openxmlformats.org/officeDocument/2006/relationships" name="Guide" sheetId="4" r:id="R16f50ced81104d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0"/>
  </x:numFmts>
  <x:fonts count="22">
    <x:font>
      <x:sz val="11"/>
      <x:name val="Carlito"/>
    </x:font>
    <x:font>
      <x:b/>
      <x:sz val="20"/>
      <x:color rgb="FFFFFFFF"/>
      <x:name val="Carlito"/>
    </x:font>
    <x:font>
      <x:i/>
      <x:sz val="10"/>
      <x:color rgb="FF1F4D78"/>
      <x:name val="Carlito"/>
    </x:font>
    <x:font>
      <x:b/>
      <x:sz val="11"/>
      <x:color rgb="FFFFFFFF"/>
      <x:name val="Carlito"/>
    </x:font>
    <x:font>
      <x:sz val="10"/>
      <x:color rgb="FF111827"/>
      <x:name val="Carlito"/>
    </x:font>
    <x:font>
      <x:b/>
      <x:sz val="10"/>
      <x:color rgb="FF0B2545"/>
      <x:name val="Carlito"/>
    </x:font>
    <x:font>
      <x:b/>
      <x:sz val="11"/>
      <x:color rgb="FF0B2545"/>
      <x:name val="Carlito"/>
    </x:font>
    <x:font>
      <x:sz val="11"/>
      <x:color rgb="FF111827"/>
      <x:name val="Carlito"/>
    </x:font>
    <x:font>
      <x:i/>
      <x:sz val="9"/>
      <x:color rgb="FF667085"/>
      <x:name val="Carlito"/>
    </x:font>
    <x:font>
      <x:b/>
      <x:sz val="20"/>
      <x:color rgb="FFFFFFFF"/>
      <x:name val="Calibri"/>
    </x:font>
    <x:font>
      <x:i/>
      <x:sz val="10"/>
      <x:color rgb="FF1F4D78"/>
      <x:name val="Calibri"/>
    </x:font>
    <x:font>
      <x:sz val="11"/>
      <x:name val="Calibri"/>
    </x:font>
    <x:font>
      <x:b/>
      <x:sz val="11"/>
      <x:color rgb="FFFFFFFF"/>
      <x:name val="Calibri"/>
    </x:font>
    <x:font>
      <x:b/>
      <x:sz val="10"/>
      <x:color rgb="FF0B2545"/>
      <x:name val="Calibri"/>
    </x:font>
    <x:font>
      <x:sz val="10"/>
      <x:color rgb="FF111827"/>
      <x:name val="Calibri"/>
    </x:font>
    <x:font>
      <x:b/>
      <x:sz val="11"/>
      <x:color rgb="FF0B2545"/>
      <x:name val="Calibri"/>
    </x:font>
    <x:font>
      <x:sz val="11"/>
      <x:color rgb="FF111827"/>
      <x:name val="Calibri"/>
    </x:font>
    <x:font>
      <x:i/>
      <x:sz val="9"/>
      <x:color rgb="FF667085"/>
      <x:name val="Calibri"/>
    </x:font>
    <x:font>
      <x:sz val="11"/>
      <x:color rgb="FF0B2545"/>
      <x:name val="Carlito"/>
    </x:font>
    <x:font>
      <x:sz val="11"/>
      <x:color rgb="FF0B2545"/>
      <x:name val="Calibri"/>
    </x:font>
    <x:font>
      <x:b/>
      <x:sz val="16"/>
      <x:color rgb="FFFFFFFF"/>
      <x:name val="Aptos Display"/>
    </x:font>
    <x:font>
      <x:i/>
      <x:sz val="11"/>
      <x:color rgb="FF334155"/>
      <x:name val="Aptos"/>
    </x:font>
  </x:fonts>
  <x:fills count="19">
    <x:fill>
      <x:patternFill patternType="none"/>
    </x:fill>
    <x:fill>
      <x:patternFill patternType="gray125"/>
    </x:fill>
    <x:fill>
      <x:patternFill patternType="solid">
        <x:fgColor rgb="FF0B2545"/>
      </x:patternFill>
    </x:fill>
    <x:fill>
      <x:patternFill patternType="solid">
        <x:fgColor rgb="FFE8EEF5"/>
      </x:patternFill>
    </x:fill>
    <x:fill>
      <x:patternFill patternType="solid">
        <x:fgColor rgb="FF2E74B5"/>
      </x:patternFill>
    </x:fill>
    <x:fill>
      <x:patternFill patternType="solid">
        <x:fgColor rgb="FFF2F4F7"/>
      </x:patternFill>
    </x:fill>
    <x:fill>
      <x:patternFill patternType="solid">
        <x:fgColor rgb="FFF8FAFC"/>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s>
  <x:borders count="13">
    <x:border/>
    <x:border>
      <x:left style="thin">
        <x:color rgb="FF2E74B5"/>
      </x:left>
      <x:top style="thin">
        <x:color rgb="FF2E74B5"/>
      </x:top>
      <x:bottom style="thin">
        <x:color rgb="FF2E74B5"/>
      </x:bottom>
    </x:border>
    <x:border>
      <x:top style="thin">
        <x:color rgb="FF2E74B5"/>
      </x:top>
      <x:bottom style="thin">
        <x:color rgb="FF2E74B5"/>
      </x:bottom>
    </x:border>
    <x:border>
      <x:right style="thin">
        <x:color rgb="FF2E74B5"/>
      </x:right>
      <x:top style="thin">
        <x:color rgb="FF2E74B5"/>
      </x:top>
      <x:bottom style="thin">
        <x:color rgb="FF2E74B5"/>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1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3" xfId="0" applyNumberFormat="1" applyFont="1" applyFill="1" applyBorder="1" applyAlignment="1">
      <x:alignment vertical="center"/>
    </x:xf>
    <x:xf numFmtId="0" fontId="4" fillId="0" borderId="0" xfId="0" applyNumberFormat="1" applyFont="1" applyFill="1" applyBorder="1"/>
    <x:xf numFmtId="0" fontId="4" fillId="0" borderId="4" xfId="0" applyNumberFormat="1" applyFont="1" applyFill="1" applyBorder="1"/>
    <x:xf numFmtId="0" fontId="4" fillId="0" borderId="4"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5" fillId="5" borderId="4"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201" fontId="6" fillId="0" borderId="4"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3" borderId="0" xfId="0" applyNumberFormat="1" applyFont="1" applyFill="1" applyBorder="1"/>
    <x:xf numFmtId="0" fontId="6" fillId="3" borderId="4" xfId="0" applyNumberFormat="1" applyFont="1" applyFill="1" applyBorder="1"/>
    <x:xf numFmtId="0" fontId="6" fillId="3" borderId="4" xfId="0" applyNumberFormat="1" applyFont="1" applyFill="1" applyBorder="1" applyAlignment="1">
      <x:alignment wrapText="1"/>
    </x:xf>
    <x:xf numFmtId="0" fontId="6" fillId="3" borderId="4"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5"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11" xfId="0" applyNumberFormat="1" applyFont="1" applyFill="1" applyBorder="1" applyAlignment="1">
      <x:alignment wrapText="1"/>
    </x:xf>
    <x:xf numFmtId="0" fontId="7" fillId="6" borderId="12" xfId="0" applyNumberFormat="1" applyFont="1" applyFill="1" applyBorder="1" applyAlignment="1">
      <x:alignment wrapText="1"/>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9" xfId="0" applyNumberFormat="1" applyFont="1" applyFill="1" applyBorder="1" applyAlignment="1">
      <x:alignment vertical="top" wrapText="1"/>
    </x:xf>
    <x:xf numFmtId="0" fontId="7" fillId="6" borderId="10" xfId="0" applyNumberFormat="1" applyFont="1" applyFill="1" applyBorder="1" applyAlignment="1">
      <x:alignment vertical="top" wrapText="1"/>
    </x:xf>
    <x:xf numFmtId="0" fontId="7" fillId="6" borderId="11" xfId="0" applyNumberFormat="1" applyFont="1" applyFill="1" applyBorder="1" applyAlignment="1">
      <x:alignment vertical="top" wrapText="1"/>
    </x:xf>
    <x:xf numFmtId="0" fontId="7" fillId="6" borderId="12" xfId="0" applyNumberFormat="1" applyFont="1" applyFill="1" applyBorder="1" applyAlignment="1">
      <x:alignment vertical="top"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9" fillId="2" borderId="0" xfId="0" applyNumberFormat="1" applyFont="1" applyFill="1" applyBorder="1" applyAlignment="1">
      <x:alignment vertical="center"/>
    </x:xf>
    <x:xf numFmtId="0" fontId="10" fillId="3" borderId="0" xfId="0" applyNumberFormat="1" applyFont="1" applyFill="1" applyBorder="1" applyAlignment="1">
      <x:alignment vertical="center"/>
    </x:xf>
    <x:xf numFmtId="0" fontId="11" fillId="0" borderId="0" xfId="0" applyNumberFormat="1" applyFont="1" applyFill="1" applyBorder="1"/>
    <x:xf numFmtId="0" fontId="12" fillId="4" borderId="1" xfId="0" applyNumberFormat="1" applyFont="1" applyFill="1" applyBorder="1" applyAlignment="1">
      <x:alignment vertical="center"/>
    </x:xf>
    <x:xf numFmtId="0" fontId="12" fillId="4" borderId="2" xfId="0" applyNumberFormat="1" applyFont="1" applyFill="1" applyBorder="1" applyAlignment="1">
      <x:alignment vertical="center"/>
    </x:xf>
    <x:xf numFmtId="0" fontId="12" fillId="4" borderId="3" xfId="0" applyNumberFormat="1" applyFont="1" applyFill="1" applyBorder="1" applyAlignment="1">
      <x:alignment vertical="center"/>
    </x:xf>
    <x:xf numFmtId="0" fontId="13" fillId="5" borderId="4" xfId="0" applyNumberFormat="1" applyFont="1" applyFill="1" applyBorder="1" applyAlignment="1">
      <x:alignment vertical="top" wrapText="1"/>
    </x:xf>
    <x:xf numFmtId="0" fontId="14" fillId="0" borderId="4" xfId="0" applyNumberFormat="1" applyFont="1" applyFill="1" applyBorder="1" applyAlignment="1">
      <x:alignment vertical="top" wrapText="1"/>
    </x:xf>
    <x:xf numFmtId="201" fontId="15" fillId="0" borderId="4" xfId="0" applyNumberFormat="1" applyFont="1" applyFill="1" applyBorder="1" applyAlignment="1">
      <x:alignment vertical="top" wrapText="1"/>
    </x:xf>
    <x:xf numFmtId="0" fontId="15" fillId="0" borderId="4" xfId="0" applyNumberFormat="1" applyFont="1" applyFill="1" applyBorder="1" applyAlignment="1">
      <x:alignment vertical="top" wrapText="1"/>
    </x:xf>
    <x:xf numFmtId="200" fontId="14" fillId="0" borderId="4" xfId="0" applyNumberFormat="1" applyFont="1" applyFill="1" applyBorder="1" applyAlignment="1">
      <x:alignment vertical="top" wrapText="1"/>
    </x:xf>
    <x:xf numFmtId="0" fontId="15" fillId="3" borderId="4" xfId="0" applyNumberFormat="1" applyFont="1" applyFill="1" applyBorder="1" applyAlignment="1">
      <x:alignment vertical="center" wrapText="1"/>
    </x:xf>
    <x:xf numFmtId="201" fontId="14" fillId="0" borderId="4" xfId="0" applyNumberFormat="1" applyFont="1" applyFill="1" applyBorder="1" applyAlignment="1">
      <x:alignment vertical="top" wrapText="1"/>
    </x:xf>
    <x:xf numFmtId="0" fontId="16" fillId="6" borderId="5" xfId="0" applyNumberFormat="1" applyFont="1" applyFill="1" applyBorder="1" applyAlignment="1">
      <x:alignment vertical="top" wrapText="1"/>
    </x:xf>
    <x:xf numFmtId="0" fontId="16" fillId="6" borderId="6" xfId="0" applyNumberFormat="1" applyFont="1" applyFill="1" applyBorder="1" applyAlignment="1">
      <x:alignment vertical="top" wrapText="1"/>
    </x:xf>
    <x:xf numFmtId="0" fontId="16" fillId="6" borderId="7" xfId="0" applyNumberFormat="1" applyFont="1" applyFill="1" applyBorder="1" applyAlignment="1">
      <x:alignment vertical="top" wrapText="1"/>
    </x:xf>
    <x:xf numFmtId="0" fontId="16" fillId="6" borderId="8" xfId="0" applyNumberFormat="1" applyFont="1" applyFill="1" applyBorder="1" applyAlignment="1">
      <x:alignment vertical="top" wrapText="1"/>
    </x:xf>
    <x:xf numFmtId="0" fontId="16" fillId="6" borderId="0" xfId="0" applyNumberFormat="1" applyFont="1" applyFill="1" applyBorder="1" applyAlignment="1">
      <x:alignment vertical="top" wrapText="1"/>
    </x:xf>
    <x:xf numFmtId="0" fontId="16" fillId="6" borderId="9" xfId="0" applyNumberFormat="1" applyFont="1" applyFill="1" applyBorder="1" applyAlignment="1">
      <x:alignment vertical="top" wrapText="1"/>
    </x:xf>
    <x:xf numFmtId="0" fontId="16" fillId="6" borderId="10" xfId="0" applyNumberFormat="1" applyFont="1" applyFill="1" applyBorder="1" applyAlignment="1">
      <x:alignment vertical="top" wrapText="1"/>
    </x:xf>
    <x:xf numFmtId="0" fontId="16" fillId="6" borderId="11" xfId="0" applyNumberFormat="1" applyFont="1" applyFill="1" applyBorder="1" applyAlignment="1">
      <x:alignment vertical="top" wrapText="1"/>
    </x:xf>
    <x:xf numFmtId="0" fontId="16" fillId="6" borderId="12" xfId="0" applyNumberFormat="1" applyFont="1" applyFill="1" applyBorder="1" applyAlignment="1">
      <x:alignment vertical="top" wrapText="1"/>
    </x:xf>
    <x:xf numFmtId="0" fontId="17" fillId="5" borderId="0" xfId="0" applyNumberFormat="1" applyFont="1" applyFill="1" applyBorder="1" applyAlignment="1">
      <x:alignment wrapText="1"/>
    </x:xf>
    <x:xf numFmtId="202" fontId="4" fillId="0" borderId="4" xfId="0" applyNumberFormat="1" applyFont="1" applyFill="1" applyBorder="1" applyAlignment="1">
      <x:alignment vertical="top" wrapText="1"/>
    </x:xf>
    <x:xf numFmtId="203" fontId="4" fillId="0" borderId="4" xfId="0" applyNumberFormat="1" applyFont="1" applyFill="1" applyBorder="1" applyAlignment="1">
      <x:alignment vertical="top" wrapText="1"/>
    </x:xf>
    <x:xf numFmtId="202" fontId="14" fillId="0" borderId="4" xfId="0" applyNumberFormat="1" applyFont="1" applyFill="1" applyBorder="1" applyAlignment="1">
      <x:alignment vertical="top" wrapText="1"/>
    </x:xf>
    <x:xf numFmtId="203" fontId="14" fillId="0" borderId="4" xfId="0" applyNumberFormat="1" applyFont="1" applyFill="1" applyBorder="1" applyAlignment="1">
      <x:alignment vertical="top" wrapText="1"/>
    </x:xf>
    <x:xf numFmtId="0" fontId="18" fillId="3" borderId="0" xfId="0" applyNumberFormat="1" applyFont="1" applyFill="1" applyBorder="1"/>
    <x:xf numFmtId="0" fontId="18" fillId="3" borderId="5" xfId="0" applyNumberFormat="1" applyFont="1" applyFill="1" applyBorder="1"/>
    <x:xf numFmtId="0" fontId="18" fillId="3" borderId="6" xfId="0" applyNumberFormat="1" applyFont="1" applyFill="1" applyBorder="1"/>
    <x:xf numFmtId="0" fontId="18" fillId="3" borderId="7" xfId="0" applyNumberFormat="1" applyFont="1" applyFill="1" applyBorder="1"/>
    <x:xf numFmtId="0" fontId="18" fillId="3" borderId="8" xfId="0" applyNumberFormat="1" applyFont="1" applyFill="1" applyBorder="1"/>
    <x:xf numFmtId="0" fontId="18" fillId="3" borderId="9" xfId="0" applyNumberFormat="1" applyFont="1" applyFill="1" applyBorder="1"/>
    <x:xf numFmtId="0" fontId="18" fillId="3" borderId="10" xfId="0" applyNumberFormat="1" applyFont="1" applyFill="1" applyBorder="1"/>
    <x:xf numFmtId="0" fontId="18" fillId="3" borderId="11" xfId="0" applyNumberFormat="1" applyFont="1" applyFill="1" applyBorder="1"/>
    <x:xf numFmtId="0" fontId="18" fillId="3" borderId="12" xfId="0" applyNumberFormat="1" applyFont="1" applyFill="1" applyBorder="1"/>
    <x:xf numFmtId="0" fontId="18" fillId="3" borderId="5" xfId="0" applyNumberFormat="1" applyFont="1" applyFill="1" applyBorder="1" applyAlignment="1">
      <x:alignment wrapText="1"/>
    </x:xf>
    <x:xf numFmtId="0" fontId="18" fillId="3" borderId="6" xfId="0" applyNumberFormat="1" applyFont="1" applyFill="1" applyBorder="1" applyAlignment="1">
      <x:alignment wrapText="1"/>
    </x:xf>
    <x:xf numFmtId="0" fontId="18" fillId="3" borderId="7" xfId="0" applyNumberFormat="1" applyFont="1" applyFill="1" applyBorder="1" applyAlignment="1">
      <x:alignment wrapText="1"/>
    </x:xf>
    <x:xf numFmtId="0" fontId="18" fillId="3" borderId="8" xfId="0" applyNumberFormat="1" applyFont="1" applyFill="1" applyBorder="1" applyAlignment="1">
      <x:alignment wrapText="1"/>
    </x:xf>
    <x:xf numFmtId="0" fontId="18" fillId="3" borderId="0" xfId="0" applyNumberFormat="1" applyFont="1" applyFill="1" applyBorder="1" applyAlignment="1">
      <x:alignment wrapText="1"/>
    </x:xf>
    <x:xf numFmtId="0" fontId="18" fillId="3" borderId="9" xfId="0" applyNumberFormat="1" applyFont="1" applyFill="1" applyBorder="1" applyAlignment="1">
      <x:alignment wrapText="1"/>
    </x:xf>
    <x:xf numFmtId="0" fontId="18" fillId="3" borderId="10" xfId="0" applyNumberFormat="1" applyFont="1" applyFill="1" applyBorder="1" applyAlignment="1">
      <x:alignment wrapText="1"/>
    </x:xf>
    <x:xf numFmtId="0" fontId="18" fillId="3" borderId="11" xfId="0" applyNumberFormat="1" applyFont="1" applyFill="1" applyBorder="1" applyAlignment="1">
      <x:alignment wrapText="1"/>
    </x:xf>
    <x:xf numFmtId="0" fontId="18" fillId="3" borderId="12" xfId="0" applyNumberFormat="1" applyFont="1" applyFill="1" applyBorder="1" applyAlignment="1">
      <x:alignment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8" fillId="3" borderId="8" xfId="0" applyNumberFormat="1" applyFont="1" applyFill="1" applyBorder="1" applyAlignment="1">
      <x:alignment vertical="top" wrapText="1"/>
    </x:xf>
    <x:xf numFmtId="0" fontId="18" fillId="3" borderId="0" xfId="0" applyNumberFormat="1" applyFont="1" applyFill="1" applyBorder="1" applyAlignment="1">
      <x:alignment vertical="top" wrapText="1"/>
    </x:xf>
    <x:xf numFmtId="0" fontId="18" fillId="3" borderId="9" xfId="0" applyNumberFormat="1" applyFont="1" applyFill="1" applyBorder="1" applyAlignment="1">
      <x:alignment vertical="top" wrapText="1"/>
    </x:xf>
    <x:xf numFmtId="0" fontId="18" fillId="3" borderId="10" xfId="0" applyNumberFormat="1" applyFont="1" applyFill="1" applyBorder="1" applyAlignment="1">
      <x:alignment vertical="top" wrapText="1"/>
    </x:xf>
    <x:xf numFmtId="0" fontId="18" fillId="3" borderId="11" xfId="0" applyNumberFormat="1" applyFont="1" applyFill="1" applyBorder="1" applyAlignment="1">
      <x:alignment vertical="top" wrapText="1"/>
    </x:xf>
    <x:xf numFmtId="0" fontId="18" fillId="3" borderId="12" xfId="0" applyNumberFormat="1" applyFont="1" applyFill="1" applyBorder="1" applyAlignment="1">
      <x:alignment vertical="top" wrapText="1"/>
    </x:xf>
    <x:xf numFmtId="0" fontId="19" fillId="3" borderId="5" xfId="0" applyNumberFormat="1" applyFont="1" applyFill="1" applyBorder="1" applyAlignment="1">
      <x:alignment vertical="top" wrapText="1"/>
    </x:xf>
    <x:xf numFmtId="0" fontId="19" fillId="3" borderId="6" xfId="0" applyNumberFormat="1" applyFont="1" applyFill="1" applyBorder="1" applyAlignment="1">
      <x:alignment vertical="top" wrapText="1"/>
    </x:xf>
    <x:xf numFmtId="0" fontId="19" fillId="3" borderId="7" xfId="0" applyNumberFormat="1" applyFont="1" applyFill="1" applyBorder="1" applyAlignment="1">
      <x:alignment vertical="top" wrapText="1"/>
    </x:xf>
    <x:xf numFmtId="0" fontId="19" fillId="3" borderId="8" xfId="0" applyNumberFormat="1" applyFont="1" applyFill="1" applyBorder="1" applyAlignment="1">
      <x:alignment vertical="top" wrapText="1"/>
    </x:xf>
    <x:xf numFmtId="0" fontId="19" fillId="3" borderId="0" xfId="0" applyNumberFormat="1" applyFont="1" applyFill="1" applyBorder="1" applyAlignment="1">
      <x:alignment vertical="top" wrapText="1"/>
    </x:xf>
    <x:xf numFmtId="0" fontId="19" fillId="3" borderId="9" xfId="0" applyNumberFormat="1" applyFont="1" applyFill="1" applyBorder="1" applyAlignment="1">
      <x:alignment vertical="top" wrapText="1"/>
    </x:xf>
    <x:xf numFmtId="0" fontId="19" fillId="3" borderId="10" xfId="0" applyNumberFormat="1" applyFont="1" applyFill="1" applyBorder="1" applyAlignment="1">
      <x:alignment vertical="top" wrapText="1"/>
    </x:xf>
    <x:xf numFmtId="0" fontId="19" fillId="3" borderId="11" xfId="0" applyNumberFormat="1" applyFont="1" applyFill="1" applyBorder="1" applyAlignment="1">
      <x:alignment vertical="top" wrapText="1"/>
    </x:xf>
    <x:xf numFmtId="0" fontId="19" fillId="3" borderId="12" xfId="0" applyNumberFormat="1" applyFont="1" applyFill="1" applyBorder="1" applyAlignment="1">
      <x:alignment vertical="top" wrapText="1"/>
    </x:xf>
    <x:xf numFmtId="0" fontId="9" fillId="7" borderId="0" xfId="0" applyNumberFormat="1" applyFont="1" applyFill="1" applyBorder="1" applyAlignment="1">
      <x:alignment vertical="center"/>
    </x:xf>
    <x:xf numFmtId="0" fontId="20" fillId="7" borderId="0" xfId="0" applyNumberFormat="1" applyFont="1" applyFill="1" applyBorder="1" applyAlignment="1">
      <x:alignment vertical="center"/>
    </x:xf>
    <x:xf numFmtId="0" fontId="10" fillId="8" borderId="0" xfId="0" applyNumberFormat="1" applyFont="1" applyFill="1" applyBorder="1" applyAlignment="1">
      <x:alignment vertical="center"/>
    </x:xf>
    <x:xf numFmtId="0" fontId="21" fillId="8" borderId="0" xfId="0" applyNumberFormat="1" applyFont="1" applyFill="1" applyBorder="1" applyAlignment="1">
      <x:alignment vertical="center"/>
    </x:xf>
    <x:xf numFmtId="0" fontId="20" fillId="9" borderId="0" xfId="0" applyNumberFormat="1" applyFont="1" applyFill="1" applyBorder="1" applyAlignment="1">
      <x:alignment vertical="center"/>
    </x:xf>
    <x:xf numFmtId="0" fontId="21" fillId="10" borderId="0" xfId="0" applyNumberFormat="1" applyFont="1" applyFill="1" applyBorder="1" applyAlignment="1">
      <x:alignment vertical="center"/>
    </x:xf>
    <x:xf numFmtId="0" fontId="20" fillId="11" borderId="0" xfId="0" applyNumberFormat="1" applyFont="1" applyFill="1" applyBorder="1" applyAlignment="1">
      <x:alignment vertical="center"/>
    </x:xf>
    <x:xf numFmtId="0" fontId="21" fillId="12" borderId="0" xfId="0" applyNumberFormat="1" applyFont="1" applyFill="1" applyBorder="1" applyAlignment="1">
      <x:alignment vertical="center"/>
    </x:xf>
    <x:xf numFmtId="0" fontId="20" fillId="13" borderId="0" xfId="0" applyNumberFormat="1" applyFont="1" applyFill="1" applyBorder="1" applyAlignment="1">
      <x:alignment vertical="center"/>
    </x:xf>
    <x:xf numFmtId="0" fontId="21" fillId="14" borderId="0" xfId="0" applyNumberFormat="1" applyFont="1" applyFill="1" applyBorder="1" applyAlignment="1">
      <x:alignment vertical="center"/>
    </x:xf>
    <x:xf numFmtId="0" fontId="20" fillId="15" borderId="0" xfId="0" applyNumberFormat="1" applyFont="1" applyFill="1" applyBorder="1" applyAlignment="1">
      <x:alignment vertical="center"/>
    </x:xf>
    <x:xf numFmtId="0" fontId="21" fillId="16" borderId="0" xfId="0" applyNumberFormat="1" applyFont="1" applyFill="1" applyBorder="1" applyAlignment="1">
      <x:alignment vertical="center"/>
    </x:xf>
    <x:xf numFmtId="0" fontId="20" fillId="17" borderId="0" xfId="0" applyNumberFormat="1" applyFont="1" applyFill="1" applyBorder="1" applyAlignment="1">
      <x:alignment vertical="center"/>
    </x:xf>
    <x:xf numFmtId="0" fontId="21" fillId="18" borderId="0" xfId="0" applyNumberFormat="1" applyFont="1" applyFill="1" applyBorder="1" applyAlignment="1">
      <x:alignment vertical="center"/>
    </x:xf>
  </x:cellXfs>
  <x:cellStyles count="1">
    <x:cellStyle name="Normal" xfId="0"/>
  </x:cellStyles>
  <x:dxfs count="14">
    <x:dxf>
      <x:font>
        <x:color rgb="FF166534"/>
      </x:font>
      <x:fill>
        <x:patternFill>
          <x:bgColor rgb="FFDCFCE7"/>
        </x:patternFill>
      </x:fill>
    </x:dxf>
    <x:dxf>
      <x:font>
        <x:color rgb="FF92400E"/>
      </x:font>
      <x:fill>
        <x:patternFill>
          <x:bgColor rgb="FFFEF3C7"/>
        </x:patternFill>
      </x:fill>
    </x:dxf>
    <x:dxf>
      <x:font>
        <x:color rgb="FF991B1B"/>
      </x:font>
      <x:fill>
        <x:patternFill>
          <x:bgColor rgb="FFFEE2E2"/>
        </x:patternFill>
      </x:fill>
    </x:dxf>
    <x:dxf>
      <x:font>
        <x:b/>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b/>
        <x:color rgb="FF991B1B"/>
      </x:font>
      <x:fill>
        <x:patternFill>
          <x:bgColor rgb="FFFEE2E2"/>
        </x:patternFill>
      </x:fill>
    </x:dxf>
    <x:dxf>
      <x:font>
        <x:b/>
        <x:color rgb="FF991B1B"/>
      </x:font>
      <x:fill>
        <x:patternFill>
          <x:bgColor rgb="FFFFEDD5"/>
        </x:patternFill>
      </x:fill>
    </x:dxf>
    <x:dxf>
      <x:font>
        <x:color rgb="FF92400E"/>
      </x:font>
      <x:fill>
        <x:patternFill>
          <x:bgColor rgb="FFFEF3C7"/>
        </x:patternFill>
      </x:fill>
    </x:dxf>
    <x:dxf>
      <x:font>
        <x:color rgb="FF166534"/>
      </x:font>
      <x:fill>
        <x:patternFill>
          <x:bgColor rgb="FFDCFCE7"/>
        </x:patternFill>
      </x:fill>
    </x:dxf>
    <x:dxf>
      <x:font>
        <x:b/>
        <x:color rgb="FF991B1B"/>
      </x:font>
      <x:fill>
        <x:patternFill>
          <x:bgColor rgb="FFFEE2E2"/>
        </x:patternFill>
      </x:fill>
    </x:dxf>
    <x:dxf>
      <x:font>
        <x:b/>
        <x:color rgb="FF991B1B"/>
      </x:font>
      <x:fill>
        <x:patternFill>
          <x:bgColor rgb="FFFFEDD5"/>
        </x:patternFill>
      </x:fill>
    </x:dxf>
    <x:dxf>
      <x:font>
        <x:color rgb="FF92400E"/>
      </x:font>
      <x:fill>
        <x:patternFill>
          <x:bgColor rgb="FFFEF3C7"/>
        </x:patternFill>
      </x:fill>
    </x:dxf>
    <x:dxf>
      <x:font>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b517ee7f3b4c2c" /><Relationship Type="http://schemas.openxmlformats.org/officeDocument/2006/relationships/theme" Target="/xl/theme/theme1.xml" Id="R5ae3bf304cab4465" /><Relationship Type="http://schemas.openxmlformats.org/officeDocument/2006/relationships/sharedStrings" Target="/xl/sharedStrings.xml" Id="R69a257147d9c4f28" /><Relationship Type="http://schemas.openxmlformats.org/officeDocument/2006/relationships/worksheet" Target="/xl/worksheets/sheet1.xml" Id="R23413adfa8794e89" /><Relationship Type="http://schemas.openxmlformats.org/officeDocument/2006/relationships/worksheet" Target="/xl/worksheets/sheet2.xml" Id="R9ab9942343fa4049" /><Relationship Type="http://schemas.openxmlformats.org/officeDocument/2006/relationships/worksheet" Target="/xl/worksheets/sheet3.xml" Id="R310bf0d6912140bf" /><Relationship Type="http://schemas.openxmlformats.org/officeDocument/2006/relationships/worksheet" Target="/xl/worksheets/sheet4.xml" Id="R16f50ced81104d78" /></Relationships>
</file>

<file path=xl/drawings/_rels/drawing1.xml.rels>&#65279;<?xml version="1.0" encoding="utf-8"?><Relationships xmlns="http://schemas.openxmlformats.org/package/2006/relationships"><Relationship Type="http://schemas.openxmlformats.org/officeDocument/2006/relationships/chart" Target="/xl/drawings/charts/chart1.xml" Id="R3c8eb999d8b944a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Control Score by Domain</a:t>
            </a:r>
          </a:p>
        </c:rich>
      </c:tx>
      <c:overlay val="0"/>
    </c:title>
    <c:plotArea>
      <c:barChart>
        <c:barDir val="col"/>
        <c:varyColors val="0"/>
        <c:ser>
          <c:idx val="0"/>
          <c:order val="0"/>
          <c:tx>
            <c:v>Control score</c:v>
          </c:tx>
          <c:cat>
            <c:strRef>
              <c:f>'Executive Summary'!$A$15:$A$22</c:f>
              <c:strCache>
                <c:ptCount val="0"/>
              </c:strCache>
            </c:strRef>
          </c:cat>
          <c:val>
            <c:numRef>
              <c:f>'Executive Summary'!$B$15:$B$22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13</xdr:row>
      <xdr:rowOff>0</xdr:rowOff>
    </xdr:from>
    <xdr:to>
      <xdr:col>10</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8eb999d8b944a0"/>
        </a:graphicData>
      </a:graphic>
    </xdr:graphicFrame>
    <xdr:clientData/>
  </xdr:twoCellAnchor>
</xdr:wsDr>
</file>

<file path=xl/tables/table1.xml><?xml version="1.0" encoding="utf-8"?>
<x:table xmlns:x="http://schemas.openxmlformats.org/spreadsheetml/2006/main" id="1" name="VendorAssessmentTable" displayName="VendorAssessmentTable" ref="A11:Q36" headerRowCount="1" totalsRowCount="0" totalsRowShown="0">
  <x:tableColumns count="17">
    <x:tableColumn id="1" name="Question ID"/>
    <x:tableColumn id="2" name="Domain"/>
    <x:tableColumn id="3" name="Control question"/>
    <x:tableColumn id="4" name="Weight"/>
    <x:tableColumn id="5" name="Vendor response"/>
    <x:tableColumn id="6" name="Evidence / artifact"/>
    <x:tableColumn id="7" name="Evidence quality"/>
    <x:tableColumn id="8" name="Response score"/>
    <x:tableColumn id="9" name="Weighted points"/>
    <x:tableColumn id="10" name="Maximum points"/>
    <x:tableColumn id="11" name="Control score"/>
    <x:tableColumn id="12" name="Risk flag"/>
    <x:tableColumn id="13" name="Related Trainory risks"/>
    <x:tableColumn id="14" name="Assessor notes"/>
    <x:tableColumn id="15" name="Required condition / remediation"/>
    <x:tableColumn id="16" name="Owner"/>
    <x:tableColumn id="17" name="Status"/>
  </x:tableColumns>
  <x:tableStyleInfo name="TableStyleMedium2" showFirstColumn="0" showLastColumn="0" showRowStripes="1" showColumnStripes="0"/>
</x:table>
</file>

<file path=xl/tables/table2.xml><?xml version="1.0" encoding="utf-8"?>
<x:table xmlns:x="http://schemas.openxmlformats.org/spreadsheetml/2006/main" id="2" name="VendorFindingsTable" displayName="VendorFindingsTable" ref="A11:R17" headerRowCount="1" totalsRowCount="0" totalsRowShown="0">
  <x:tableColumns count="18">
    <x:tableColumn id="1" name="Finding ID"/>
    <x:tableColumn id="2" name="Domain"/>
    <x:tableColumn id="3" name="Finding"/>
    <x:tableColumn id="4" name="Linked questions"/>
    <x:tableColumn id="5" name="Likelihood"/>
    <x:tableColumn id="6" name="Impact"/>
    <x:tableColumn id="7" name="Risk score"/>
    <x:tableColumn id="8" name="Rating"/>
    <x:tableColumn id="9" name="Recommendation"/>
    <x:tableColumn id="10" name="Vendor commitment"/>
    <x:tableColumn id="11" name="Trainory owner"/>
    <x:tableColumn id="12" name="Target date"/>
    <x:tableColumn id="13" name="Status"/>
    <x:tableColumn id="14" name="Residual likelihood"/>
    <x:tableColumn id="15" name="Residual impact"/>
    <x:tableColumn id="16" name="Residual score"/>
    <x:tableColumn id="17" name="Residual rating"/>
    <x:tableColumn id="18" name="Decision / rationa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f6ea610eaf54bf2" /></Relationships>
</file>

<file path=xl/worksheets/_rels/sheet2.xml.rels>&#65279;<?xml version="1.0" encoding="utf-8"?><Relationships xmlns="http://schemas.openxmlformats.org/package/2006/relationships"><Relationship Type="http://schemas.openxmlformats.org/officeDocument/2006/relationships/table" Target="/xl/tables/table1.xml" Id="Rfd98ef80681b445b" /></Relationships>
</file>

<file path=xl/worksheets/_rels/sheet3.xml.rels>&#65279;<?xml version="1.0" encoding="utf-8"?><Relationships xmlns="http://schemas.openxmlformats.org/package/2006/relationships"><Relationship Type="http://schemas.openxmlformats.org/officeDocument/2006/relationships/table" Target="/xl/tables/table2.xml" Id="Ra152a6a034094444"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16" hidden="0" customWidth="1"/>
    <x:col min="4" max="4" width="25" hidden="0" customWidth="1"/>
    <x:col min="5" max="5" width="22" hidden="0" customWidth="1"/>
  </x:cols>
  <x:sheetData>
    <x:row r="1" ht="34" customHeight="1">
      <x:c r="A1" s="60" t="str">
        <x:v>Trainory | Third-Party Vendor Risk Assessment</x:v>
      </x:c>
      <x:c r="B1" s="60"/>
      <x:c r="C1" s="60"/>
      <x:c r="D1" s="60"/>
      <x:c r="E1" s="60"/>
      <x:c r="F1" s="60"/>
      <x:c r="G1" s="60"/>
      <x:c r="H1" s="60"/>
      <x:c r="I1" s="60"/>
      <x:c r="J1" s="60"/>
    </x:row>
    <x:row r="2" ht="24" customHeight="1">
      <x:c r="A2" s="61" t="str">
        <x:v>Fictional wearable-data integration assessment</x:v>
      </x:c>
      <x:c r="B2" s="61" t="str">
        <x:v>Fictional wearable-data integration assessment</x:v>
      </x:c>
      <x:c r="C2" s="61" t="str">
        <x:v>Fictional wearable-data integration assessment</x:v>
      </x:c>
      <x:c r="D2" s="61" t="str">
        <x:v>Fictional wearable-data integration assessment</x:v>
      </x:c>
      <x:c r="E2" s="61" t="str">
        <x:v>Fictional wearable-data integration assessment</x:v>
      </x:c>
      <x:c r="F2" s="61" t="str">
        <x:v>Fictional wearable-data integration assessment</x:v>
      </x:c>
      <x:c r="G2" s="61" t="str">
        <x:v>Fictional wearable-data integration assessment</x:v>
      </x:c>
      <x:c r="H2" s="61" t="str">
        <x:v>Fictional wearable-data integration assessment</x:v>
      </x:c>
      <x:c r="I2" s="61" t="str">
        <x:v>Fictional wearable-data integration assessment</x:v>
      </x:c>
      <x:c r="J2" s="61" t="str">
        <x:v>Fictional wearable-data integration assessment</x:v>
      </x:c>
    </x:row>
    <x:row r="3">
      <x:c r="A3" s="62"/>
      <x:c r="B3" s="62"/>
      <x:c r="C3" s="62"/>
      <x:c r="D3" s="62"/>
      <x:c r="E3" s="62"/>
      <x:c r="F3" s="62"/>
      <x:c r="G3" s="62"/>
      <x:c r="H3" s="62"/>
      <x:c r="I3" s="62"/>
      <x:c r="J3" s="62"/>
    </x:row>
    <x:row r="4" ht="23" customHeight="1">
      <x:c r="A4" s="63" t="str">
        <x:v>Assessment decision</x:v>
      </x:c>
      <x:c r="B4" s="64"/>
      <x:c r="C4" s="64"/>
      <x:c r="D4" s="64"/>
      <x:c r="E4" s="64"/>
      <x:c r="F4" s="64"/>
      <x:c r="G4" s="64"/>
      <x:c r="H4" s="64"/>
      <x:c r="I4" s="64"/>
      <x:c r="J4" s="65"/>
    </x:row>
    <x:row r="5">
      <x:c r="A5" s="66" t="str">
        <x:v>Vendor</x:v>
      </x:c>
      <x:c r="B5" s="67" t="str">
        <x:v>VitaSync</x:v>
      </x:c>
      <x:c r="C5" s="62"/>
      <x:c r="D5" s="66" t="str">
        <x:v>Overall control score</x:v>
      </x:c>
      <x:c r="E5" s="68" t="n">
        <x:f>SUM('Assessment'!$I$12:$I$36)/SUM('Assessment'!$J$12:$J$36)</x:f>
        <x:v>0.6982758620689655</x:v>
      </x:c>
      <x:c r="F5" s="62"/>
      <x:c r="G5" s="62"/>
      <x:c r="H5" s="62"/>
      <x:c r="I5" s="62"/>
      <x:c r="J5" s="62"/>
    </x:row>
    <x:row r="6">
      <x:c r="A6" s="66" t="str">
        <x:v>Service</x:v>
      </x:c>
      <x:c r="B6" s="67" t="str">
        <x:v>Wearable and fitness-data aggregation API</x:v>
      </x:c>
      <x:c r="C6" s="62"/>
      <x:c r="D6" s="66" t="str">
        <x:v>Open findings</x:v>
      </x:c>
      <x:c r="E6" s="69" t="n">
        <x:f>COUNTIF('Findings'!$M$12:$M$17,"&lt;&gt;Closed")</x:f>
        <x:v>6</x:v>
      </x:c>
      <x:c r="F6" s="62"/>
      <x:c r="G6" s="62"/>
      <x:c r="H6" s="62"/>
      <x:c r="I6" s="62"/>
      <x:c r="J6" s="62"/>
    </x:row>
    <x:row r="7">
      <x:c r="A7" s="66" t="str">
        <x:v>Business owner</x:v>
      </x:c>
      <x:c r="B7" s="67" t="str">
        <x:v>Product Management</x:v>
      </x:c>
      <x:c r="C7" s="62"/>
      <x:c r="D7" s="66" t="str">
        <x:v>High / Critical findings</x:v>
      </x:c>
      <x:c r="E7" s="69" t="n">
        <x:f>COUNTIF('Findings'!$H$12:$H$17,"High")+COUNTIF('Findings'!$H$12:$H$17,"Critical")</x:f>
        <x:v>6</x:v>
      </x:c>
      <x:c r="F7" s="62"/>
      <x:c r="G7" s="62"/>
      <x:c r="H7" s="62"/>
      <x:c r="I7" s="62"/>
      <x:c r="J7" s="62"/>
    </x:row>
    <x:row r="8">
      <x:c r="A8" s="66" t="str">
        <x:v>Risk owner</x:v>
      </x:c>
      <x:c r="B8" s="67" t="str">
        <x:v>Cybersecurity and Compliance</x:v>
      </x:c>
      <x:c r="C8" s="62"/>
      <x:c r="D8" s="66" t="str">
        <x:v>Evidence gaps</x:v>
      </x:c>
      <x:c r="E8" s="69" t="n">
        <x:f>COUNTIF('Assessment'!$G$12:$G$36,"Weak")+COUNTIF('Assessment'!$G$12:$G$36,"None")</x:f>
        <x:v>5</x:v>
      </x:c>
      <x:c r="F8" s="62"/>
      <x:c r="G8" s="62"/>
      <x:c r="H8" s="62"/>
      <x:c r="I8" s="62"/>
      <x:c r="J8" s="62"/>
    </x:row>
    <x:row r="9">
      <x:c r="A9" s="66" t="str">
        <x:v>Data classification</x:v>
      </x:c>
      <x:c r="B9" s="67" t="str">
        <x:v>Restricted - fitness, wellness, account, and device data</x:v>
      </x:c>
      <x:c r="C9" s="62"/>
      <x:c r="D9" s="66" t="str">
        <x:v>Recommended decision</x:v>
      </x:c>
      <x:c r="E9" s="69" t="str">
        <x:f>IF(E5&gt;=0.8,IF(E7=0,"Approve","Conditional Approval"),IF(E5&gt;=0.6,"Conditional Approval","Do Not Approve"))</x:f>
        <x:v>Conditional Approval</x:v>
      </x:c>
      <x:c r="F9" s="62"/>
      <x:c r="G9" s="62"/>
      <x:c r="H9" s="62"/>
      <x:c r="I9" s="62"/>
      <x:c r="J9" s="62"/>
    </x:row>
    <x:row r="10">
      <x:c r="A10" s="66" t="str">
        <x:v>Criticality</x:v>
      </x:c>
      <x:c r="B10" s="67" t="str">
        <x:v>High</x:v>
      </x:c>
      <x:c r="C10" s="62"/>
      <x:c r="D10" s="62"/>
      <x:c r="E10" s="62"/>
      <x:c r="F10" s="62"/>
      <x:c r="G10" s="62"/>
      <x:c r="H10" s="62"/>
      <x:c r="I10" s="62"/>
      <x:c r="J10" s="62"/>
    </x:row>
    <x:row r="11">
      <x:c r="A11" s="66" t="str">
        <x:v>Assessment date</x:v>
      </x:c>
      <x:c r="B11" s="70" t="n">
        <x:v>46300</x:v>
      </x:c>
      <x:c r="C11" s="62"/>
      <x:c r="D11" s="62"/>
      <x:c r="E11" s="62"/>
      <x:c r="F11" s="62"/>
      <x:c r="G11" s="62"/>
      <x:c r="H11" s="62"/>
      <x:c r="I11" s="62"/>
      <x:c r="J11" s="62"/>
    </x:row>
    <x:row r="12">
      <x:c r="A12" s="66" t="str">
        <x:v>Review cycle</x:v>
      </x:c>
      <x:c r="B12" s="67" t="str">
        <x:v>Annual and after material changes or incidents</x:v>
      </x:c>
      <x:c r="C12" s="62"/>
      <x:c r="D12" s="62"/>
      <x:c r="E12" s="62"/>
      <x:c r="F12" s="62"/>
      <x:c r="G12" s="62"/>
      <x:c r="H12" s="62"/>
      <x:c r="I12" s="62"/>
      <x:c r="J12" s="62"/>
    </x:row>
    <x:row r="13">
      <x:c r="A13" s="62"/>
      <x:c r="B13" s="62"/>
      <x:c r="C13" s="62"/>
      <x:c r="D13" s="62"/>
      <x:c r="E13" s="62"/>
      <x:c r="F13" s="62"/>
      <x:c r="G13" s="62"/>
      <x:c r="H13" s="62"/>
      <x:c r="I13" s="62"/>
      <x:c r="J13" s="62"/>
    </x:row>
    <x:row r="14" ht="34" customHeight="1">
      <x:c r="A14" s="71" t="str">
        <x:v>Domain</x:v>
      </x:c>
      <x:c r="B14" s="71" t="str">
        <x:v>Control score</x:v>
      </x:c>
      <x:c r="C14" s="62"/>
      <x:c r="D14" s="62"/>
      <x:c r="E14" s="62"/>
      <x:c r="F14" s="62"/>
      <x:c r="G14" s="62"/>
      <x:c r="H14" s="62"/>
      <x:c r="I14" s="62"/>
      <x:c r="J14" s="62"/>
    </x:row>
    <x:row r="15">
      <x:c r="A15" s="67" t="str">
        <x:v>Governance</x:v>
      </x:c>
      <x:c r="B15" s="72" t="n">
        <x:f>SUMIF('Assessment'!$B$12:$B$36,A15,'Assessment'!$I$12:$I$36)/SUMIF('Assessment'!$B$12:$B$36,A15,'Assessment'!$J$12:$J$36)</x:f>
        <x:v>0.6923076923076923</x:v>
      </x:c>
      <x:c r="C15" s="62"/>
      <x:c r="D15" s="62"/>
      <x:c r="E15" s="62"/>
      <x:c r="F15" s="62"/>
      <x:c r="G15" s="62"/>
      <x:c r="H15" s="62"/>
      <x:c r="I15" s="62"/>
      <x:c r="J15" s="62"/>
    </x:row>
    <x:row r="16">
      <x:c r="A16" s="67" t="str">
        <x:v>Identity &amp; Access</x:v>
      </x:c>
      <x:c r="B16" s="72" t="n">
        <x:f>SUMIF('Assessment'!$B$12:$B$36,A16,'Assessment'!$I$12:$I$36)/SUMIF('Assessment'!$B$12:$B$36,A16,'Assessment'!$J$12:$J$36)</x:f>
        <x:v>0.8214285714285714</x:v>
      </x:c>
      <x:c r="C16" s="62"/>
      <x:c r="D16" s="62"/>
      <x:c r="E16" s="62"/>
      <x:c r="F16" s="62"/>
      <x:c r="G16" s="62"/>
      <x:c r="H16" s="62"/>
      <x:c r="I16" s="62"/>
      <x:c r="J16" s="62"/>
    </x:row>
    <x:row r="17">
      <x:c r="A17" s="67" t="str">
        <x:v>Data Protection</x:v>
      </x:c>
      <x:c r="B17" s="72" t="n">
        <x:f>SUMIF('Assessment'!$B$12:$B$36,A17,'Assessment'!$I$12:$I$36)/SUMIF('Assessment'!$B$12:$B$36,A17,'Assessment'!$J$12:$J$36)</x:f>
        <x:v>0.875</x:v>
      </x:c>
      <x:c r="C17" s="62"/>
      <x:c r="D17" s="62"/>
      <x:c r="E17" s="62"/>
      <x:c r="F17" s="62"/>
      <x:c r="G17" s="62"/>
      <x:c r="H17" s="62"/>
      <x:c r="I17" s="62"/>
      <x:c r="J17" s="62"/>
    </x:row>
    <x:row r="18">
      <x:c r="A18" s="67" t="str">
        <x:v>Application Security</x:v>
      </x:c>
      <x:c r="B18" s="72" t="n">
        <x:f>SUMIF('Assessment'!$B$12:$B$36,A18,'Assessment'!$I$12:$I$36)/SUMIF('Assessment'!$B$12:$B$36,A18,'Assessment'!$J$12:$J$36)</x:f>
        <x:v>0.8076923076923077</x:v>
      </x:c>
      <x:c r="C18" s="62"/>
      <x:c r="D18" s="62"/>
      <x:c r="E18" s="62"/>
      <x:c r="F18" s="62"/>
      <x:c r="G18" s="62"/>
      <x:c r="H18" s="62"/>
      <x:c r="I18" s="62"/>
      <x:c r="J18" s="62"/>
    </x:row>
    <x:row r="19">
      <x:c r="A19" s="67" t="str">
        <x:v>Monitoring &amp; Response</x:v>
      </x:c>
      <x:c r="B19" s="72" t="n">
        <x:f>SUMIF('Assessment'!$B$12:$B$36,A19,'Assessment'!$I$12:$I$36)/SUMIF('Assessment'!$B$12:$B$36,A19,'Assessment'!$J$12:$J$36)</x:f>
        <x:v>0.6666666666666666</x:v>
      </x:c>
      <x:c r="C19" s="62"/>
      <x:c r="D19" s="62"/>
      <x:c r="E19" s="62"/>
      <x:c r="F19" s="62"/>
      <x:c r="G19" s="62"/>
      <x:c r="H19" s="62"/>
      <x:c r="I19" s="62"/>
      <x:c r="J19" s="62"/>
    </x:row>
    <x:row r="20">
      <x:c r="A20" s="67" t="str">
        <x:v>Resilience</x:v>
      </x:c>
      <x:c r="B20" s="72" t="n">
        <x:f>SUMIF('Assessment'!$B$12:$B$36,A20,'Assessment'!$I$12:$I$36)/SUMIF('Assessment'!$B$12:$B$36,A20,'Assessment'!$J$12:$J$36)</x:f>
        <x:v>0.5</x:v>
      </x:c>
      <x:c r="C20" s="62"/>
      <x:c r="D20" s="62"/>
      <x:c r="E20" s="62"/>
      <x:c r="F20" s="62"/>
      <x:c r="G20" s="62"/>
      <x:c r="H20" s="62"/>
      <x:c r="I20" s="62"/>
      <x:c r="J20" s="62"/>
    </x:row>
    <x:row r="21">
      <x:c r="A21" s="67" t="str">
        <x:v>Privacy</x:v>
      </x:c>
      <x:c r="B21" s="72" t="n">
        <x:f>SUMIF('Assessment'!$B$12:$B$36,A21,'Assessment'!$I$12:$I$36)/SUMIF('Assessment'!$B$12:$B$36,A21,'Assessment'!$J$12:$J$36)</x:f>
        <x:v>0.5</x:v>
      </x:c>
      <x:c r="C21" s="62"/>
      <x:c r="D21" s="62"/>
      <x:c r="E21" s="62"/>
      <x:c r="F21" s="62"/>
      <x:c r="G21" s="62"/>
      <x:c r="H21" s="62"/>
      <x:c r="I21" s="62"/>
      <x:c r="J21" s="62"/>
    </x:row>
    <x:row r="22">
      <x:c r="A22" s="67" t="str">
        <x:v>Third Parties</x:v>
      </x:c>
      <x:c r="B22" s="72" t="n">
        <x:f>SUMIF('Assessment'!$B$12:$B$36,A22,'Assessment'!$I$12:$I$36)/SUMIF('Assessment'!$B$12:$B$36,A22,'Assessment'!$J$12:$J$36)</x:f>
        <x:v>0.6538461538461539</x:v>
      </x:c>
      <x:c r="C22" s="62"/>
      <x:c r="D22" s="62"/>
      <x:c r="E22" s="62"/>
      <x:c r="F22" s="62"/>
      <x:c r="G22" s="62"/>
      <x:c r="H22" s="62"/>
      <x:c r="I22" s="62"/>
      <x:c r="J22" s="62"/>
    </x:row>
    <x:row r="23">
      <x:c r="A23" s="62"/>
      <x:c r="B23" s="62"/>
      <x:c r="C23" s="62"/>
      <x:c r="D23" s="62"/>
      <x:c r="E23" s="62"/>
      <x:c r="F23" s="62"/>
      <x:c r="G23" s="62"/>
      <x:c r="H23" s="62"/>
      <x:c r="I23" s="62"/>
      <x:c r="J23" s="62"/>
    </x:row>
    <x:row r="24" ht="23" customHeight="1">
      <x:c r="A24" s="63" t="str">
        <x:v>Recommendation and approval conditions</x:v>
      </x:c>
      <x:c r="B24" s="64"/>
      <x:c r="C24" s="64"/>
      <x:c r="D24" s="64"/>
      <x:c r="E24" s="64"/>
      <x:c r="F24" s="64"/>
      <x:c r="G24" s="64"/>
      <x:c r="H24" s="64"/>
      <x:c r="I24" s="64"/>
      <x:c r="J24" s="65"/>
    </x:row>
    <x:row r="25">
      <x:c r="A25" s="73" t="str">
        <x:v>Conditionally approve VitaSync for a limited production integration. Before launch, Trainory should require a completed independent assurance review, a tested disaster-recovery summary, a documented deletion/retention commitment, and contract language requiring timely incident notification. Trainory should limit API scopes, use separate production credentials, monitor integration activity, and track the six findings to closure or formal risk acceptance.</x:v>
      </x:c>
      <x:c r="B25" s="74"/>
      <x:c r="C25" s="74"/>
      <x:c r="D25" s="74"/>
      <x:c r="E25" s="74"/>
      <x:c r="F25" s="74"/>
      <x:c r="G25" s="74"/>
      <x:c r="H25" s="74"/>
      <x:c r="I25" s="74"/>
      <x:c r="J25" s="75"/>
    </x:row>
    <x:row r="26">
      <x:c r="A26" s="76"/>
      <x:c r="B26" s="77"/>
      <x:c r="C26" s="77"/>
      <x:c r="D26" s="77"/>
      <x:c r="E26" s="77"/>
      <x:c r="F26" s="77"/>
      <x:c r="G26" s="77"/>
      <x:c r="H26" s="77"/>
      <x:c r="I26" s="77"/>
      <x:c r="J26" s="78"/>
    </x:row>
    <x:row r="27">
      <x:c r="A27" s="76"/>
      <x:c r="B27" s="77"/>
      <x:c r="C27" s="77"/>
      <x:c r="D27" s="77"/>
      <x:c r="E27" s="77"/>
      <x:c r="F27" s="77"/>
      <x:c r="G27" s="77"/>
      <x:c r="H27" s="77"/>
      <x:c r="I27" s="77"/>
      <x:c r="J27" s="78"/>
    </x:row>
    <x:row r="28">
      <x:c r="A28" s="79"/>
      <x:c r="B28" s="80"/>
      <x:c r="C28" s="80"/>
      <x:c r="D28" s="80"/>
      <x:c r="E28" s="80"/>
      <x:c r="F28" s="80"/>
      <x:c r="G28" s="80"/>
      <x:c r="H28" s="80"/>
      <x:c r="I28" s="80"/>
      <x:c r="J28" s="81"/>
    </x:row>
    <x:row r="29">
      <x:c r="A29" s="62"/>
      <x:c r="B29" s="62"/>
      <x:c r="C29" s="62"/>
      <x:c r="D29" s="62"/>
      <x:c r="E29" s="62"/>
      <x:c r="F29" s="62"/>
      <x:c r="G29" s="62"/>
      <x:c r="H29" s="62"/>
      <x:c r="I29" s="62"/>
      <x:c r="J29" s="62"/>
    </x:row>
    <x:row r="30" ht="32" customHeight="1">
      <x:c r="A30" s="82" t="str">
        <x:v>Case study note: VitaSync and all evidence, responses, findings, and decisions are fictional.</x:v>
      </x:c>
      <x:c r="B30" s="82" t="str">
        <x:v>Case study note: VitaSync and all evidence, responses, findings, and decisions are fictional.</x:v>
      </x:c>
      <x:c r="C30" s="82" t="str">
        <x:v>Case study note: VitaSync and all evidence, responses, findings, and decisions are fictional.</x:v>
      </x:c>
      <x:c r="D30" s="82" t="str">
        <x:v>Case study note: VitaSync and all evidence, responses, findings, and decisions are fictional.</x:v>
      </x:c>
      <x:c r="E30" s="82" t="str">
        <x:v>Case study note: VitaSync and all evidence, responses, findings, and decisions are fictional.</x:v>
      </x:c>
      <x:c r="F30" s="82" t="str">
        <x:v>Case study note: VitaSync and all evidence, responses, findings, and decisions are fictional.</x:v>
      </x:c>
      <x:c r="G30" s="82" t="str">
        <x:v>Case study note: VitaSync and all evidence, responses, findings, and decisions are fictional.</x:v>
      </x:c>
      <x:c r="H30" s="82" t="str">
        <x:v>Case study note: VitaSync and all evidence, responses, findings, and decisions are fictional.</x:v>
      </x:c>
      <x:c r="I30" s="82" t="str">
        <x:v>Case study note: VitaSync and all evidence, responses, findings, and decisions are fictional.</x:v>
      </x:c>
      <x:c r="J30" s="82" t="str">
        <x:v>Case study note: VitaSync and all evidence, responses, findings, and decisions are fictional.</x:v>
      </x:c>
    </x:row>
  </x:sheetData>
  <x:mergeCells>
    <x:mergeCell ref="A1:J1"/>
    <x:mergeCell ref="A2:J2"/>
    <x:mergeCell ref="A4:J4"/>
    <x:mergeCell ref="A24:J24"/>
    <x:mergeCell ref="A25:J28"/>
    <x:mergeCell ref="A30:J30"/>
  </x:mergeCells>
  <x:conditionalFormatting sqref="B15:B22">
    <x:cfRule type="colorScale" priority="1">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9f6ea610eaf54bf2"/>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0" hidden="0" customWidth="1"/>
    <x:col min="3" max="3" width="48" hidden="0" customWidth="1"/>
    <x:col min="4" max="4" width="9" hidden="0" customWidth="1"/>
    <x:col min="5" max="5" width="15" hidden="0" customWidth="1"/>
    <x:col min="6" max="6" width="32" hidden="0" customWidth="1"/>
    <x:col min="7" max="7" width="15" hidden="0" customWidth="1"/>
    <x:col min="8" max="8" width="13" hidden="0" customWidth="1"/>
    <x:col min="9" max="9" width="15" hidden="0" customWidth="1"/>
    <x:col min="10" max="10" width="15" hidden="0" customWidth="1"/>
    <x:col min="11" max="11" width="14" hidden="0" customWidth="1"/>
    <x:col min="12" max="12" width="13" hidden="0" customWidth="1"/>
    <x:col min="13" max="13" width="24" hidden="0" customWidth="1"/>
    <x:col min="14" max="14" width="36" hidden="0" customWidth="1"/>
    <x:col min="15" max="15" width="40" hidden="0" customWidth="1"/>
    <x:col min="16" max="16" width="22" hidden="0" customWidth="1"/>
    <x:col min="17" max="17" width="14" hidden="0" customWidth="1"/>
  </x:cols>
  <x:sheetData>
    <x:row r="1" ht="34" customHeight="1">
      <x:c r="A1" s="60" t="str">
        <x:v>VitaSync Security and Privacy Assessment</x:v>
      </x:c>
      <x:c r="B1" s="60"/>
      <x:c r="C1" s="60"/>
      <x:c r="D1" s="60"/>
      <x:c r="E1" s="60"/>
      <x:c r="F1" s="60"/>
      <x:c r="G1" s="60"/>
      <x:c r="H1" s="60"/>
      <x:c r="I1" s="60"/>
      <x:c r="J1" s="60"/>
      <x:c r="K1" s="60"/>
      <x:c r="L1" s="60"/>
      <x:c r="M1" s="60"/>
      <x:c r="N1" s="60"/>
      <x:c r="O1" s="60"/>
      <x:c r="P1" s="60"/>
      <x:c r="Q1" s="60"/>
    </x:row>
    <x:row r="2" ht="24" customHeight="1">
      <x:c r="A2" s="61" t="str">
        <x:v>Control questionnaire, evidence review, and formula-driven scoring</x:v>
      </x:c>
      <x:c r="B2" s="61"/>
      <x:c r="C2" s="61"/>
      <x:c r="D2" s="61"/>
      <x:c r="E2" s="61"/>
      <x:c r="F2" s="61"/>
      <x:c r="G2" s="61"/>
      <x:c r="H2" s="61"/>
      <x:c r="I2" s="61"/>
      <x:c r="J2" s="61"/>
      <x:c r="K2" s="61"/>
      <x:c r="L2" s="61"/>
      <x:c r="M2" s="61"/>
      <x:c r="N2" s="61"/>
      <x:c r="O2" s="61"/>
      <x:c r="P2" s="61"/>
      <x:c r="Q2" s="61"/>
    </x:row>
    <x:row r="3">
      <x:c r="A3" s="62"/>
      <x:c r="B3" s="62"/>
      <x:c r="C3" s="62"/>
      <x:c r="D3" s="62"/>
      <x:c r="E3" s="62"/>
      <x:c r="F3" s="62"/>
      <x:c r="G3" s="62"/>
      <x:c r="H3" s="62"/>
      <x:c r="I3" s="62"/>
      <x:c r="J3" s="62"/>
      <x:c r="K3" s="62"/>
      <x:c r="L3" s="62"/>
      <x:c r="M3" s="62"/>
      <x:c r="N3" s="62"/>
      <x:c r="O3" s="62"/>
      <x:c r="P3" s="62"/>
      <x:c r="Q3" s="62"/>
    </x:row>
    <x:row r="4" ht="23" customHeight="1">
      <x:c r="A4" s="63" t="str">
        <x:v>Scoring method</x:v>
      </x:c>
      <x:c r="B4" s="64"/>
      <x:c r="C4" s="64"/>
      <x:c r="D4" s="64"/>
      <x:c r="E4" s="64"/>
      <x:c r="F4" s="64"/>
      <x:c r="G4" s="64"/>
      <x:c r="H4" s="64"/>
      <x:c r="I4" s="64"/>
      <x:c r="J4" s="64"/>
      <x:c r="K4" s="64"/>
      <x:c r="L4" s="64"/>
      <x:c r="M4" s="64"/>
      <x:c r="N4" s="64"/>
      <x:c r="O4" s="64"/>
      <x:c r="P4" s="64"/>
      <x:c r="Q4" s="65"/>
    </x:row>
    <x:row r="5">
      <x:c r="A5" s="66" t="str">
        <x:v>Response</x:v>
      </x:c>
      <x:c r="B5" s="66" t="str">
        <x:v>Score</x:v>
      </x:c>
      <x:c r="C5" s="66" t="str">
        <x:v>Evidence quality</x:v>
      </x:c>
      <x:c r="D5" s="66" t="str">
        <x:v>Meaning</x:v>
      </x:c>
      <x:c r="E5" s="66" t="str"/>
      <x:c r="F5" s="66" t="str">
        <x:v>Weight</x:v>
      </x:c>
      <x:c r="G5" s="66" t="str">
        <x:v>Meaning</x:v>
      </x:c>
      <x:c r="H5" s="66" t="str"/>
      <x:c r="I5" s="66" t="str">
        <x:v>Risk flag</x:v>
      </x:c>
      <x:c r="J5" s="66" t="str">
        <x:v>Rule</x:v>
      </x:c>
      <x:c r="K5" s="66" t="str"/>
      <x:c r="L5" s="66" t="str">
        <x:v>Overall score</x:v>
      </x:c>
      <x:c r="M5" s="66" t="str">
        <x:v>Formula</x:v>
      </x:c>
      <x:c r="N5" s="66" t="str"/>
      <x:c r="O5" s="66" t="str">
        <x:v>Decision</x:v>
      </x:c>
      <x:c r="P5" s="66" t="str">
        <x:v>Threshold</x:v>
      </x:c>
      <x:c r="Q5" s="66" t="str"/>
    </x:row>
    <x:row r="6">
      <x:c r="A6" s="67" t="str">
        <x:v>Yes</x:v>
      </x:c>
      <x:c r="B6" s="67" t="n">
        <x:v>1</x:v>
      </x:c>
      <x:c r="C6" s="67" t="str">
        <x:v>Strong</x:v>
      </x:c>
      <x:c r="D6" s="67" t="str">
        <x:v>Current, independent, and directly relevant</x:v>
      </x:c>
      <x:c r="E6" s="67" t="str"/>
      <x:c r="F6" s="67" t="n">
        <x:v>5</x:v>
      </x:c>
      <x:c r="G6" s="67" t="str">
        <x:v>Critical</x:v>
      </x:c>
      <x:c r="H6" s="67" t="str"/>
      <x:c r="I6" s="67" t="str">
        <x:v>High</x:v>
      </x:c>
      <x:c r="J6" s="67" t="str">
        <x:v>Weighted gap &gt;= 2.5</x:v>
      </x:c>
      <x:c r="K6" s="67" t="str"/>
      <x:c r="L6" s="67" t="str">
        <x:v>Weighted points</x:v>
      </x:c>
      <x:c r="M6" s="67" t="str">
        <x:v>Weight x response score</x:v>
      </x:c>
      <x:c r="N6" s="67" t="str"/>
      <x:c r="O6" s="67" t="str">
        <x:v>Approve</x:v>
      </x:c>
      <x:c r="P6" s="67" t="str">
        <x:v>&gt;=80% and no High/Critical findings</x:v>
      </x:c>
      <x:c r="Q6" s="67" t="str"/>
    </x:row>
    <x:row r="7">
      <x:c r="A7" s="67" t="str">
        <x:v>Partial</x:v>
      </x:c>
      <x:c r="B7" s="67" t="n">
        <x:v>0.5</x:v>
      </x:c>
      <x:c r="C7" s="67" t="str">
        <x:v>Moderate</x:v>
      </x:c>
      <x:c r="D7" s="67" t="str">
        <x:v>Relevant but incomplete, aged, or internally produced</x:v>
      </x:c>
      <x:c r="E7" s="67" t="str"/>
      <x:c r="F7" s="67" t="n">
        <x:v>3</x:v>
      </x:c>
      <x:c r="G7" s="67" t="str">
        <x:v>Important</x:v>
      </x:c>
      <x:c r="H7" s="67" t="str"/>
      <x:c r="I7" s="67" t="str">
        <x:v>Moderate</x:v>
      </x:c>
      <x:c r="J7" s="67" t="str">
        <x:v>Weighted gap &gt;= 1.5</x:v>
      </x:c>
      <x:c r="K7" s="67" t="str"/>
      <x:c r="L7" s="67" t="str">
        <x:v>Maximum points</x:v>
      </x:c>
      <x:c r="M7" s="67" t="str">
        <x:v>Weight unless N/A</x:v>
      </x:c>
      <x:c r="N7" s="67" t="str"/>
      <x:c r="O7" s="67" t="str">
        <x:v>Conditional</x:v>
      </x:c>
      <x:c r="P7" s="67" t="str">
        <x:v>60%-79% or unresolved material findings</x:v>
      </x:c>
      <x:c r="Q7" s="67" t="str"/>
    </x:row>
    <x:row r="8">
      <x:c r="A8" s="67" t="str">
        <x:v>No</x:v>
      </x:c>
      <x:c r="B8" s="67" t="n">
        <x:v>0</x:v>
      </x:c>
      <x:c r="C8" s="67" t="str">
        <x:v>Weak / None</x:v>
      </x:c>
      <x:c r="D8" s="67" t="str">
        <x:v>Unverified, indirect, outdated, or absent</x:v>
      </x:c>
      <x:c r="E8" s="67" t="str"/>
      <x:c r="F8" s="67" t="n">
        <x:v>1</x:v>
      </x:c>
      <x:c r="G8" s="67" t="str">
        <x:v>Supporting</x:v>
      </x:c>
      <x:c r="H8" s="67" t="str"/>
      <x:c r="I8" s="67" t="str">
        <x:v>Low</x:v>
      </x:c>
      <x:c r="J8" s="67" t="str">
        <x:v>Weighted gap &lt; 1.5</x:v>
      </x:c>
      <x:c r="K8" s="67" t="str"/>
      <x:c r="L8" s="67" t="str">
        <x:v>Control score</x:v>
      </x:c>
      <x:c r="M8" s="67" t="str">
        <x:v>Weighted points / maximum points</x:v>
      </x:c>
      <x:c r="N8" s="67" t="str"/>
      <x:c r="O8" s="67" t="str">
        <x:v>Do not approve</x:v>
      </x:c>
      <x:c r="P8" s="67" t="str">
        <x:v>&lt;60% or unacceptable exposure</x:v>
      </x:c>
      <x:c r="Q8" s="67" t="str"/>
    </x:row>
    <x:row r="9">
      <x:c r="A9" s="62"/>
      <x:c r="B9" s="62"/>
      <x:c r="C9" s="62"/>
      <x:c r="D9" s="62"/>
      <x:c r="E9" s="62"/>
      <x:c r="F9" s="62"/>
      <x:c r="G9" s="62"/>
      <x:c r="H9" s="62"/>
      <x:c r="I9" s="62"/>
      <x:c r="J9" s="62"/>
      <x:c r="K9" s="62"/>
      <x:c r="L9" s="62"/>
      <x:c r="M9" s="62"/>
      <x:c r="N9" s="62"/>
      <x:c r="O9" s="62"/>
      <x:c r="P9" s="62"/>
      <x:c r="Q9" s="62"/>
    </x:row>
    <x:row r="10" ht="23" customHeight="1">
      <x:c r="A10" s="63" t="str">
        <x:v>Assessment questionnaire</x:v>
      </x:c>
      <x:c r="B10" s="64"/>
      <x:c r="C10" s="64"/>
      <x:c r="D10" s="64"/>
      <x:c r="E10" s="64"/>
      <x:c r="F10" s="64"/>
      <x:c r="G10" s="64"/>
      <x:c r="H10" s="64"/>
      <x:c r="I10" s="64"/>
      <x:c r="J10" s="64"/>
      <x:c r="K10" s="64"/>
      <x:c r="L10" s="64"/>
      <x:c r="M10" s="64"/>
      <x:c r="N10" s="64"/>
      <x:c r="O10" s="64"/>
      <x:c r="P10" s="64"/>
      <x:c r="Q10" s="65"/>
    </x:row>
    <x:row r="11" ht="34" customHeight="1">
      <x:c r="A11" s="71" t="str">
        <x:v>Question ID</x:v>
      </x:c>
      <x:c r="B11" s="71" t="str">
        <x:v>Domain</x:v>
      </x:c>
      <x:c r="C11" s="71" t="str">
        <x:v>Control question</x:v>
      </x:c>
      <x:c r="D11" s="71" t="str">
        <x:v>Weight</x:v>
      </x:c>
      <x:c r="E11" s="71" t="str">
        <x:v>Vendor response</x:v>
      </x:c>
      <x:c r="F11" s="71" t="str">
        <x:v>Evidence / artifact</x:v>
      </x:c>
      <x:c r="G11" s="71" t="str">
        <x:v>Evidence quality</x:v>
      </x:c>
      <x:c r="H11" s="71" t="str">
        <x:v>Response score</x:v>
      </x:c>
      <x:c r="I11" s="71" t="str">
        <x:v>Weighted points</x:v>
      </x:c>
      <x:c r="J11" s="71" t="str">
        <x:v>Maximum points</x:v>
      </x:c>
      <x:c r="K11" s="71" t="str">
        <x:v>Control score</x:v>
      </x:c>
      <x:c r="L11" s="71" t="str">
        <x:v>Risk flag</x:v>
      </x:c>
      <x:c r="M11" s="71" t="str">
        <x:v>Related Trainory risks</x:v>
      </x:c>
      <x:c r="N11" s="71" t="str">
        <x:v>Assessor notes</x:v>
      </x:c>
      <x:c r="O11" s="71" t="str">
        <x:v>Required condition / remediation</x:v>
      </x:c>
      <x:c r="P11" s="71" t="str">
        <x:v>Owner</x:v>
      </x:c>
      <x:c r="Q11" s="71" t="str">
        <x:v>Status</x:v>
      </x:c>
    </x:row>
    <x:row r="12" ht="68" customHeight="1">
      <x:c r="A12" s="67" t="str">
        <x:v>VRM-01</x:v>
      </x:c>
      <x:c r="B12" s="67" t="str">
        <x:v>Governance</x:v>
      </x:c>
      <x:c r="C12" s="67" t="str">
        <x:v>Does the vendor maintain an approved information-security program with assigned accountability?</x:v>
      </x:c>
      <x:c r="D12" s="85" t="n">
        <x:v>5</x:v>
      </x:c>
      <x:c r="E12" s="67" t="str">
        <x:v>Yes</x:v>
      </x:c>
      <x:c r="F12" s="67" t="str">
        <x:v>Information security policy and organization chart</x:v>
      </x:c>
      <x:c r="G12" s="67" t="str">
        <x:v>Moderate</x:v>
      </x:c>
      <x:c r="H12" s="86" t="n">
        <x:f>IF(E12="Yes",1,IF(E12="Partial",0.5,IF(E12="No",0,"")))</x:f>
        <x:v>1</x:v>
      </x:c>
      <x:c r="I12" s="86" t="n">
        <x:f>IF(E12="N/A",0,D12*H12)</x:f>
        <x:v>5</x:v>
      </x:c>
      <x:c r="J12" s="86" t="n">
        <x:f>IF(E12="N/A",0,D12)</x:f>
        <x:v>5</x:v>
      </x:c>
      <x:c r="K12" s="72" t="n">
        <x:f>IF(J12=0,"",I12/J12)</x:f>
        <x:v>1</x:v>
      </x:c>
      <x:c r="L12" s="67" t="str">
        <x:f>IF(E12="N/A","N/A",IF((J12-I12)&gt;=2.5,"High",IF((J12-I12)&gt;=1.5,"Moderate","Low")))</x:f>
        <x:v>Low</x:v>
      </x:c>
      <x:c r="M12" s="67" t="str">
        <x:v>TRN-R004; TRN-R009</x:v>
      </x:c>
      <x:c r="N12" s="67" t="str">
        <x:v>Policy is current; leadership approval is documented.</x:v>
      </x:c>
      <x:c r="O12" s="67" t="str">
        <x:v>Retain annual policy confirmation.</x:v>
      </x:c>
      <x:c r="P12" s="67" t="str">
        <x:v>Cybersecurity / Compliance</x:v>
      </x:c>
      <x:c r="Q12" s="67" t="str">
        <x:v>Complete</x:v>
      </x:c>
    </x:row>
    <x:row r="13" ht="68" customHeight="1">
      <x:c r="A13" s="67" t="str">
        <x:v>VRM-02</x:v>
      </x:c>
      <x:c r="B13" s="67" t="str">
        <x:v>Governance</x:v>
      </x:c>
      <x:c r="C13" s="67" t="str">
        <x:v>Does the vendor complete independent security assessments or certifications at least annually?</x:v>
      </x:c>
      <x:c r="D13" s="85" t="n">
        <x:v>5</x:v>
      </x:c>
      <x:c r="E13" s="67" t="str">
        <x:v>Partial</x:v>
      </x:c>
      <x:c r="F13" s="67" t="str">
        <x:v>Penetration-test executive summary; no current SOC 2 report</x:v>
      </x:c>
      <x:c r="G13" s="67" t="str">
        <x:v>Weak</x:v>
      </x:c>
      <x:c r="H13" s="86" t="n">
        <x:f>IF(E13="Yes",1,IF(E13="Partial",0.5,IF(E13="No",0,"")))</x:f>
        <x:v>0.5</x:v>
      </x:c>
      <x:c r="I13" s="86" t="n">
        <x:f>IF(E13="N/A",0,D13*H13)</x:f>
        <x:v>2.5</x:v>
      </x:c>
      <x:c r="J13" s="86" t="n">
        <x:f>IF(E13="N/A",0,D13)</x:f>
        <x:v>5</x:v>
      </x:c>
      <x:c r="K13" s="72" t="n">
        <x:f>IF(J13=0,"",I13/J13)</x:f>
        <x:v>0.5</x:v>
      </x:c>
      <x:c r="L13" s="67" t="str">
        <x:f>IF(E13="N/A","N/A",IF((J13-I13)&gt;=2.5,"High",IF((J13-I13)&gt;=1.5,"Moderate","Low")))</x:f>
        <x:v>High</x:v>
      </x:c>
      <x:c r="M13" s="67" t="str">
        <x:v>TRN-R004; TRN-R009</x:v>
      </x:c>
      <x:c r="N13" s="67" t="str">
        <x:v>Testing exists, but independent control assurance is incomplete.</x:v>
      </x:c>
      <x:c r="O13" s="67" t="str">
        <x:v>Require current SOC 2 Type II or equivalent assurance package before broad rollout.</x:v>
      </x:c>
      <x:c r="P13" s="67" t="str">
        <x:v>Vendor Management</x:v>
      </x:c>
      <x:c r="Q13" s="67" t="str">
        <x:v>Open</x:v>
      </x:c>
    </x:row>
    <x:row r="14" ht="68" customHeight="1">
      <x:c r="A14" s="67" t="str">
        <x:v>VRM-03</x:v>
      </x:c>
      <x:c r="B14" s="67" t="str">
        <x:v>Governance</x:v>
      </x:c>
      <x:c r="C14" s="67" t="str">
        <x:v>Are security exceptions, risks, and corrective actions formally tracked to closure?</x:v>
      </x:c>
      <x:c r="D14" s="85" t="n">
        <x:v>3</x:v>
      </x:c>
      <x:c r="E14" s="67" t="str">
        <x:v>Partial</x:v>
      </x:c>
      <x:c r="F14" s="67" t="str">
        <x:v>Risk-management procedure</x:v>
      </x:c>
      <x:c r="G14" s="67" t="str">
        <x:v>Moderate</x:v>
      </x:c>
      <x:c r="H14" s="86" t="n">
        <x:f>IF(E14="Yes",1,IF(E14="Partial",0.5,IF(E14="No",0,"")))</x:f>
        <x:v>0.5</x:v>
      </x:c>
      <x:c r="I14" s="86" t="n">
        <x:f>IF(E14="N/A",0,D14*H14)</x:f>
        <x:v>1.5</x:v>
      </x:c>
      <x:c r="J14" s="86" t="n">
        <x:f>IF(E14="N/A",0,D14)</x:f>
        <x:v>3</x:v>
      </x:c>
      <x:c r="K14" s="72" t="n">
        <x:f>IF(J14=0,"",I14/J14)</x:f>
        <x:v>0.5</x:v>
      </x:c>
      <x:c r="L14" s="67" t="str">
        <x:f>IF(E14="N/A","N/A",IF((J14-I14)&gt;=2.5,"High",IF((J14-I14)&gt;=1.5,"Moderate","Low")))</x:f>
        <x:v>Moderate</x:v>
      </x:c>
      <x:c r="M14" s="67" t="str">
        <x:v>TRN-R004</x:v>
      </x:c>
      <x:c r="N14" s="67" t="str">
        <x:v>Process is documented; sample closure evidence was not provided.</x:v>
      </x:c>
      <x:c r="O14" s="67" t="str">
        <x:v>Obtain a sanitized corrective-action sample.</x:v>
      </x:c>
      <x:c r="P14" s="67" t="str">
        <x:v>Vendor Management</x:v>
      </x:c>
      <x:c r="Q14" s="67" t="str">
        <x:v>In Progress</x:v>
      </x:c>
    </x:row>
    <x:row r="15" ht="68" customHeight="1">
      <x:c r="A15" s="67" t="str">
        <x:v>VRM-04</x:v>
      </x:c>
      <x:c r="B15" s="67" t="str">
        <x:v>Identity &amp; Access</x:v>
      </x:c>
      <x:c r="C15" s="67" t="str">
        <x:v>Is MFA required for administrative and remote access?</x:v>
      </x:c>
      <x:c r="D15" s="85" t="n">
        <x:v>5</x:v>
      </x:c>
      <x:c r="E15" s="67" t="str">
        <x:v>Yes</x:v>
      </x:c>
      <x:c r="F15" s="67" t="str">
        <x:v>MFA configuration screenshots and policy</x:v>
      </x:c>
      <x:c r="G15" s="67" t="str">
        <x:v>Strong</x:v>
      </x:c>
      <x:c r="H15" s="86" t="n">
        <x:f>IF(E15="Yes",1,IF(E15="Partial",0.5,IF(E15="No",0,"")))</x:f>
        <x:v>1</x:v>
      </x:c>
      <x:c r="I15" s="86" t="n">
        <x:f>IF(E15="N/A",0,D15*H15)</x:f>
        <x:v>5</x:v>
      </x:c>
      <x:c r="J15" s="86" t="n">
        <x:f>IF(E15="N/A",0,D15)</x:f>
        <x:v>5</x:v>
      </x:c>
      <x:c r="K15" s="72" t="n">
        <x:f>IF(J15=0,"",I15/J15)</x:f>
        <x:v>1</x:v>
      </x:c>
      <x:c r="L15" s="67" t="str">
        <x:f>IF(E15="N/A","N/A",IF((J15-I15)&gt;=2.5,"High",IF((J15-I15)&gt;=1.5,"Moderate","Low")))</x:f>
        <x:v>Low</x:v>
      </x:c>
      <x:c r="M15" s="67" t="str">
        <x:v>TRN-R001; TRN-R003</x:v>
      </x:c>
      <x:c r="N15" s="67" t="str">
        <x:v>Administrative MFA is enforced.</x:v>
      </x:c>
      <x:c r="O15" s="67" t="str">
        <x:v>Confirm annually.</x:v>
      </x:c>
      <x:c r="P15" s="67" t="str">
        <x:v>Cybersecurity / IT</x:v>
      </x:c>
      <x:c r="Q15" s="67" t="str">
        <x:v>Complete</x:v>
      </x:c>
    </x:row>
    <x:row r="16" ht="68" customHeight="1">
      <x:c r="A16" s="67" t="str">
        <x:v>VRM-05</x:v>
      </x:c>
      <x:c r="B16" s="67" t="str">
        <x:v>Identity &amp; Access</x:v>
      </x:c>
      <x:c r="C16" s="67" t="str">
        <x:v>Are privileged permissions limited, separately assigned, and reviewed at least quarterly?</x:v>
      </x:c>
      <x:c r="D16" s="85" t="n">
        <x:v>5</x:v>
      </x:c>
      <x:c r="E16" s="67" t="str">
        <x:v>Partial</x:v>
      </x:c>
      <x:c r="F16" s="67" t="str">
        <x:v>Role matrix; annual review record</x:v>
      </x:c>
      <x:c r="G16" s="67" t="str">
        <x:v>Moderate</x:v>
      </x:c>
      <x:c r="H16" s="86" t="n">
        <x:f>IF(E16="Yes",1,IF(E16="Partial",0.5,IF(E16="No",0,"")))</x:f>
        <x:v>0.5</x:v>
      </x:c>
      <x:c r="I16" s="86" t="n">
        <x:f>IF(E16="N/A",0,D16*H16)</x:f>
        <x:v>2.5</x:v>
      </x:c>
      <x:c r="J16" s="86" t="n">
        <x:f>IF(E16="N/A",0,D16)</x:f>
        <x:v>5</x:v>
      </x:c>
      <x:c r="K16" s="72" t="n">
        <x:f>IF(J16=0,"",I16/J16)</x:f>
        <x:v>0.5</x:v>
      </x:c>
      <x:c r="L16" s="67" t="str">
        <x:f>IF(E16="N/A","N/A",IF((J16-I16)&gt;=2.5,"High",IF((J16-I16)&gt;=1.5,"Moderate","Low")))</x:f>
        <x:v>High</x:v>
      </x:c>
      <x:c r="M16" s="67" t="str">
        <x:v>TRN-R003</x:v>
      </x:c>
      <x:c r="N16" s="67" t="str">
        <x:v>Roles exist, but privileged reviews are annual rather than quarterly.</x:v>
      </x:c>
      <x:c r="O16" s="67" t="str">
        <x:v>Require quarterly privileged-access review evidence.</x:v>
      </x:c>
      <x:c r="P16" s="67" t="str">
        <x:v>Cybersecurity / IT</x:v>
      </x:c>
      <x:c r="Q16" s="67" t="str">
        <x:v>Open</x:v>
      </x:c>
    </x:row>
    <x:row r="17" ht="68" customHeight="1">
      <x:c r="A17" s="67" t="str">
        <x:v>VRM-06</x:v>
      </x:c>
      <x:c r="B17" s="67" t="str">
        <x:v>Identity &amp; Access</x:v>
      </x:c>
      <x:c r="C17" s="67" t="str">
        <x:v>Are joiner, mover, and leaver activities documented and completed promptly?</x:v>
      </x:c>
      <x:c r="D17" s="85" t="n">
        <x:v>4</x:v>
      </x:c>
      <x:c r="E17" s="67" t="str">
        <x:v>Yes</x:v>
      </x:c>
      <x:c r="F17" s="67" t="str">
        <x:v>Access lifecycle procedure and sample ticket</x:v>
      </x:c>
      <x:c r="G17" s="67" t="str">
        <x:v>Moderate</x:v>
      </x:c>
      <x:c r="H17" s="86" t="n">
        <x:f>IF(E17="Yes",1,IF(E17="Partial",0.5,IF(E17="No",0,"")))</x:f>
        <x:v>1</x:v>
      </x:c>
      <x:c r="I17" s="86" t="n">
        <x:f>IF(E17="N/A",0,D17*H17)</x:f>
        <x:v>4</x:v>
      </x:c>
      <x:c r="J17" s="86" t="n">
        <x:f>IF(E17="N/A",0,D17)</x:f>
        <x:v>4</x:v>
      </x:c>
      <x:c r="K17" s="72" t="n">
        <x:f>IF(J17=0,"",I17/J17)</x:f>
        <x:v>1</x:v>
      </x:c>
      <x:c r="L17" s="67" t="str">
        <x:f>IF(E17="N/A","N/A",IF((J17-I17)&gt;=2.5,"High",IF((J17-I17)&gt;=1.5,"Moderate","Low")))</x:f>
        <x:v>Low</x:v>
      </x:c>
      <x:c r="M17" s="67" t="str">
        <x:v>TRN-R014</x:v>
      </x:c>
      <x:c r="N17" s="67" t="str">
        <x:v>Sample supports timely removal.</x:v>
      </x:c>
      <x:c r="O17" s="67" t="str">
        <x:v>Retain annual sample testing.</x:v>
      </x:c>
      <x:c r="P17" s="67" t="str">
        <x:v>Vendor Management</x:v>
      </x:c>
      <x:c r="Q17" s="67" t="str">
        <x:v>Complete</x:v>
      </x:c>
    </x:row>
    <x:row r="18" ht="68" customHeight="1">
      <x:c r="A18" s="67" t="str">
        <x:v>VRM-07</x:v>
      </x:c>
      <x:c r="B18" s="67" t="str">
        <x:v>Data Protection</x:v>
      </x:c>
      <x:c r="C18" s="67" t="str">
        <x:v>Is Trainory data encrypted in transit using current protocols?</x:v>
      </x:c>
      <x:c r="D18" s="85" t="n">
        <x:v>5</x:v>
      </x:c>
      <x:c r="E18" s="67" t="str">
        <x:v>Yes</x:v>
      </x:c>
      <x:c r="F18" s="67" t="str">
        <x:v>TLS configuration summary</x:v>
      </x:c>
      <x:c r="G18" s="67" t="str">
        <x:v>Strong</x:v>
      </x:c>
      <x:c r="H18" s="86" t="n">
        <x:f>IF(E18="Yes",1,IF(E18="Partial",0.5,IF(E18="No",0,"")))</x:f>
        <x:v>1</x:v>
      </x:c>
      <x:c r="I18" s="86" t="n">
        <x:f>IF(E18="N/A",0,D18*H18)</x:f>
        <x:v>5</x:v>
      </x:c>
      <x:c r="J18" s="86" t="n">
        <x:f>IF(E18="N/A",0,D18)</x:f>
        <x:v>5</x:v>
      </x:c>
      <x:c r="K18" s="72" t="n">
        <x:f>IF(J18=0,"",I18/J18)</x:f>
        <x:v>1</x:v>
      </x:c>
      <x:c r="L18" s="67" t="str">
        <x:f>IF(E18="N/A","N/A",IF((J18-I18)&gt;=2.5,"High",IF((J18-I18)&gt;=1.5,"Moderate","Low")))</x:f>
        <x:v>Low</x:v>
      </x:c>
      <x:c r="M18" s="67" t="str">
        <x:v>TRN-R004; TRN-R013</x:v>
      </x:c>
      <x:c r="N18" s="67" t="str">
        <x:v>Encryption in transit is supported.</x:v>
      </x:c>
      <x:c r="O18" s="67" t="str">
        <x:v>Validate endpoint configuration during implementation.</x:v>
      </x:c>
      <x:c r="P18" s="67" t="str">
        <x:v>Software Development</x:v>
      </x:c>
      <x:c r="Q18" s="67" t="str">
        <x:v>Complete</x:v>
      </x:c>
    </x:row>
    <x:row r="19" ht="68" customHeight="1">
      <x:c r="A19" s="67" t="str">
        <x:v>VRM-08</x:v>
      </x:c>
      <x:c r="B19" s="67" t="str">
        <x:v>Data Protection</x:v>
      </x:c>
      <x:c r="C19" s="67" t="str">
        <x:v>Is Trainory data encrypted at rest, including backups?</x:v>
      </x:c>
      <x:c r="D19" s="85" t="n">
        <x:v>5</x:v>
      </x:c>
      <x:c r="E19" s="67" t="str">
        <x:v>Yes</x:v>
      </x:c>
      <x:c r="F19" s="67" t="str">
        <x:v>Encryption architecture and backup summary</x:v>
      </x:c>
      <x:c r="G19" s="67" t="str">
        <x:v>Moderate</x:v>
      </x:c>
      <x:c r="H19" s="86" t="n">
        <x:f>IF(E19="Yes",1,IF(E19="Partial",0.5,IF(E19="No",0,"")))</x:f>
        <x:v>1</x:v>
      </x:c>
      <x:c r="I19" s="86" t="n">
        <x:f>IF(E19="N/A",0,D19*H19)</x:f>
        <x:v>5</x:v>
      </x:c>
      <x:c r="J19" s="86" t="n">
        <x:f>IF(E19="N/A",0,D19)</x:f>
        <x:v>5</x:v>
      </x:c>
      <x:c r="K19" s="72" t="n">
        <x:f>IF(J19=0,"",I19/J19)</x:f>
        <x:v>1</x:v>
      </x:c>
      <x:c r="L19" s="67" t="str">
        <x:f>IF(E19="N/A","N/A",IF((J19-I19)&gt;=2.5,"High",IF((J19-I19)&gt;=1.5,"Moderate","Low")))</x:f>
        <x:v>Low</x:v>
      </x:c>
      <x:c r="M19" s="67" t="str">
        <x:v>TRN-R004; TRN-R011</x:v>
      </x:c>
      <x:c r="N19" s="67" t="str">
        <x:v>Encryption is stated; key-management detail is limited.</x:v>
      </x:c>
      <x:c r="O19" s="67" t="str">
        <x:v>Confirm key ownership and rotation frequency.</x:v>
      </x:c>
      <x:c r="P19" s="67" t="str">
        <x:v>Cloud Engineering</x:v>
      </x:c>
      <x:c r="Q19" s="67" t="str">
        <x:v>In Progress</x:v>
      </x:c>
    </x:row>
    <x:row r="20" ht="68" customHeight="1">
      <x:c r="A20" s="67" t="str">
        <x:v>VRM-09</x:v>
      </x:c>
      <x:c r="B20" s="67" t="str">
        <x:v>Data Protection</x:v>
      </x:c>
      <x:c r="C20" s="67" t="str">
        <x:v>Are tenant data and credentials logically separated?</x:v>
      </x:c>
      <x:c r="D20" s="85" t="n">
        <x:v>5</x:v>
      </x:c>
      <x:c r="E20" s="67" t="str">
        <x:v>Partial</x:v>
      </x:c>
      <x:c r="F20" s="67" t="str">
        <x:v>Multi-tenant architecture diagram</x:v>
      </x:c>
      <x:c r="G20" s="67" t="str">
        <x:v>Moderate</x:v>
      </x:c>
      <x:c r="H20" s="86" t="n">
        <x:f>IF(E20="Yes",1,IF(E20="Partial",0.5,IF(E20="No",0,"")))</x:f>
        <x:v>0.5</x:v>
      </x:c>
      <x:c r="I20" s="86" t="n">
        <x:f>IF(E20="N/A",0,D20*H20)</x:f>
        <x:v>2.5</x:v>
      </x:c>
      <x:c r="J20" s="86" t="n">
        <x:f>IF(E20="N/A",0,D20)</x:f>
        <x:v>5</x:v>
      </x:c>
      <x:c r="K20" s="72" t="n">
        <x:f>IF(J20=0,"",I20/J20)</x:f>
        <x:v>0.5</x:v>
      </x:c>
      <x:c r="L20" s="67" t="str">
        <x:f>IF(E20="N/A","N/A",IF((J20-I20)&gt;=2.5,"High",IF((J20-I20)&gt;=1.5,"Moderate","Low")))</x:f>
        <x:v>High</x:v>
      </x:c>
      <x:c r="M20" s="67" t="str">
        <x:v>TRN-R002; TRN-R004</x:v>
      </x:c>
      <x:c r="N20" s="67" t="str">
        <x:v>Logical separation is described but not independently tested.</x:v>
      </x:c>
      <x:c r="O20" s="67" t="str">
        <x:v>Include tenant-isolation testing in assurance review.</x:v>
      </x:c>
      <x:c r="P20" s="67" t="str">
        <x:v>Software Development</x:v>
      </x:c>
      <x:c r="Q20" s="67" t="str">
        <x:v>Open</x:v>
      </x:c>
    </x:row>
    <x:row r="21" ht="68" customHeight="1">
      <x:c r="A21" s="67" t="str">
        <x:v>VRM-10</x:v>
      </x:c>
      <x:c r="B21" s="67" t="str">
        <x:v>Data Protection</x:v>
      </x:c>
      <x:c r="C21" s="67" t="str">
        <x:v>Are secrets and API credentials stored, rotated, and protected from source-code exposure?</x:v>
      </x:c>
      <x:c r="D21" s="85" t="n">
        <x:v>5</x:v>
      </x:c>
      <x:c r="E21" s="67" t="str">
        <x:v>Yes</x:v>
      </x:c>
      <x:c r="F21" s="67" t="str">
        <x:v>Secrets-management procedure</x:v>
      </x:c>
      <x:c r="G21" s="67" t="str">
        <x:v>Moderate</x:v>
      </x:c>
      <x:c r="H21" s="86" t="n">
        <x:f>IF(E21="Yes",1,IF(E21="Partial",0.5,IF(E21="No",0,"")))</x:f>
        <x:v>1</x:v>
      </x:c>
      <x:c r="I21" s="86" t="n">
        <x:f>IF(E21="N/A",0,D21*H21)</x:f>
        <x:v>5</x:v>
      </x:c>
      <x:c r="J21" s="86" t="n">
        <x:f>IF(E21="N/A",0,D21)</x:f>
        <x:v>5</x:v>
      </x:c>
      <x:c r="K21" s="72" t="n">
        <x:f>IF(J21=0,"",I21/J21)</x:f>
        <x:v>1</x:v>
      </x:c>
      <x:c r="L21" s="67" t="str">
        <x:f>IF(E21="N/A","N/A",IF((J21-I21)&gt;=2.5,"High",IF((J21-I21)&gt;=1.5,"Moderate","Low")))</x:f>
        <x:v>Low</x:v>
      </x:c>
      <x:c r="M21" s="67" t="str">
        <x:v>TRN-R007</x:v>
      </x:c>
      <x:c r="N21" s="67" t="str">
        <x:v>Central secret storage and rotation are documented.</x:v>
      </x:c>
      <x:c r="O21" s="67" t="str">
        <x:v>Use dedicated Trainory credentials and rotation schedule.</x:v>
      </x:c>
      <x:c r="P21" s="67" t="str">
        <x:v>Software Development</x:v>
      </x:c>
      <x:c r="Q21" s="67" t="str">
        <x:v>Complete</x:v>
      </x:c>
    </x:row>
    <x:row r="22" ht="68" customHeight="1">
      <x:c r="A22" s="67" t="str">
        <x:v>VRM-11</x:v>
      </x:c>
      <x:c r="B22" s="67" t="str">
        <x:v>Application Security</x:v>
      </x:c>
      <x:c r="C22" s="67" t="str">
        <x:v>Are secure-development requirements, peer review, and protected deployment approvals used?</x:v>
      </x:c>
      <x:c r="D22" s="85" t="n">
        <x:v>4</x:v>
      </x:c>
      <x:c r="E22" s="67" t="str">
        <x:v>Yes</x:v>
      </x:c>
      <x:c r="F22" s="67" t="str">
        <x:v>SDLC standard and branch-protection screenshots</x:v>
      </x:c>
      <x:c r="G22" s="67" t="str">
        <x:v>Moderate</x:v>
      </x:c>
      <x:c r="H22" s="86" t="n">
        <x:f>IF(E22="Yes",1,IF(E22="Partial",0.5,IF(E22="No",0,"")))</x:f>
        <x:v>1</x:v>
      </x:c>
      <x:c r="I22" s="86" t="n">
        <x:f>IF(E22="N/A",0,D22*H22)</x:f>
        <x:v>4</x:v>
      </x:c>
      <x:c r="J22" s="86" t="n">
        <x:f>IF(E22="N/A",0,D22)</x:f>
        <x:v>4</x:v>
      </x:c>
      <x:c r="K22" s="72" t="n">
        <x:f>IF(J22=0,"",I22/J22)</x:f>
        <x:v>1</x:v>
      </x:c>
      <x:c r="L22" s="67" t="str">
        <x:f>IF(E22="N/A","N/A",IF((J22-I22)&gt;=2.5,"High",IF((J22-I22)&gt;=1.5,"Moderate","Low")))</x:f>
        <x:v>Low</x:v>
      </x:c>
      <x:c r="M22" s="67" t="str">
        <x:v>TRN-R006; TRN-R008</x:v>
      </x:c>
      <x:c r="N22" s="67" t="str">
        <x:v>Core SDLC controls are present.</x:v>
      </x:c>
      <x:c r="O22" s="67" t="str">
        <x:v>Confirm production approval separation during onboarding.</x:v>
      </x:c>
      <x:c r="P22" s="67" t="str">
        <x:v>Software Development</x:v>
      </x:c>
      <x:c r="Q22" s="67" t="str">
        <x:v>Complete</x:v>
      </x:c>
    </x:row>
    <x:row r="23" ht="68" customHeight="1">
      <x:c r="A23" s="67" t="str">
        <x:v>VRM-12</x:v>
      </x:c>
      <x:c r="B23" s="67" t="str">
        <x:v>Application Security</x:v>
      </x:c>
      <x:c r="C23" s="67" t="str">
        <x:v>Are code, dependency, and application vulnerabilities scanned and remediated by severity?</x:v>
      </x:c>
      <x:c r="D23" s="85" t="n">
        <x:v>5</x:v>
      </x:c>
      <x:c r="E23" s="67" t="str">
        <x:v>Partial</x:v>
      </x:c>
      <x:c r="F23" s="67" t="str">
        <x:v>Scan summary and remediation policy</x:v>
      </x:c>
      <x:c r="G23" s="67" t="str">
        <x:v>Moderate</x:v>
      </x:c>
      <x:c r="H23" s="86" t="n">
        <x:f>IF(E23="Yes",1,IF(E23="Partial",0.5,IF(E23="No",0,"")))</x:f>
        <x:v>0.5</x:v>
      </x:c>
      <x:c r="I23" s="86" t="n">
        <x:f>IF(E23="N/A",0,D23*H23)</x:f>
        <x:v>2.5</x:v>
      </x:c>
      <x:c r="J23" s="86" t="n">
        <x:f>IF(E23="N/A",0,D23)</x:f>
        <x:v>5</x:v>
      </x:c>
      <x:c r="K23" s="72" t="n">
        <x:f>IF(J23=0,"",I23/J23)</x:f>
        <x:v>0.5</x:v>
      </x:c>
      <x:c r="L23" s="67" t="str">
        <x:f>IF(E23="N/A","N/A",IF((J23-I23)&gt;=2.5,"High",IF((J23-I23)&gt;=1.5,"Moderate","Low")))</x:f>
        <x:v>High</x:v>
      </x:c>
      <x:c r="M23" s="67" t="str">
        <x:v>TRN-R006</x:v>
      </x:c>
      <x:c r="N23" s="67" t="str">
        <x:v>Scanning exists; overdue high-severity items were not evidenced.</x:v>
      </x:c>
      <x:c r="O23" s="67" t="str">
        <x:v>Require quarterly vulnerability-aging report.</x:v>
      </x:c>
      <x:c r="P23" s="67" t="str">
        <x:v>Software Development</x:v>
      </x:c>
      <x:c r="Q23" s="67" t="str">
        <x:v>In Progress</x:v>
      </x:c>
    </x:row>
    <x:row r="24" ht="68" customHeight="1">
      <x:c r="A24" s="67" t="str">
        <x:v>VRM-13</x:v>
      </x:c>
      <x:c r="B24" s="67" t="str">
        <x:v>Application Security</x:v>
      </x:c>
      <x:c r="C24" s="67" t="str">
        <x:v>Is independent penetration testing performed annually and after major changes?</x:v>
      </x:c>
      <x:c r="D24" s="85" t="n">
        <x:v>4</x:v>
      </x:c>
      <x:c r="E24" s="67" t="str">
        <x:v>Yes</x:v>
      </x:c>
      <x:c r="F24" s="67" t="str">
        <x:v>Recent penetration-test executive summary</x:v>
      </x:c>
      <x:c r="G24" s="67" t="str">
        <x:v>Strong</x:v>
      </x:c>
      <x:c r="H24" s="86" t="n">
        <x:f>IF(E24="Yes",1,IF(E24="Partial",0.5,IF(E24="No",0,"")))</x:f>
        <x:v>1</x:v>
      </x:c>
      <x:c r="I24" s="86" t="n">
        <x:f>IF(E24="N/A",0,D24*H24)</x:f>
        <x:v>4</x:v>
      </x:c>
      <x:c r="J24" s="86" t="n">
        <x:f>IF(E24="N/A",0,D24)</x:f>
        <x:v>4</x:v>
      </x:c>
      <x:c r="K24" s="72" t="n">
        <x:f>IF(J24=0,"",I24/J24)</x:f>
        <x:v>1</x:v>
      </x:c>
      <x:c r="L24" s="67" t="str">
        <x:f>IF(E24="N/A","N/A",IF((J24-I24)&gt;=2.5,"High",IF((J24-I24)&gt;=1.5,"Moderate","Low")))</x:f>
        <x:v>Low</x:v>
      </x:c>
      <x:c r="M24" s="67" t="str">
        <x:v>TRN-R004; TRN-R006</x:v>
      </x:c>
      <x:c r="N24" s="67" t="str">
        <x:v>No critical findings were shown in the summary.</x:v>
      </x:c>
      <x:c r="O24" s="67" t="str">
        <x:v>Track material retest results.</x:v>
      </x:c>
      <x:c r="P24" s="67" t="str">
        <x:v>Cybersecurity / Compliance</x:v>
      </x:c>
      <x:c r="Q24" s="67" t="str">
        <x:v>Complete</x:v>
      </x:c>
    </x:row>
    <x:row r="25" ht="68" customHeight="1">
      <x:c r="A25" s="67" t="str">
        <x:v>VRM-14</x:v>
      </x:c>
      <x:c r="B25" s="67" t="str">
        <x:v>Monitoring &amp; Response</x:v>
      </x:c>
      <x:c r="C25" s="67" t="str">
        <x:v>Are authentication, administrative, API, and data-access events centrally logged and monitored?</x:v>
      </x:c>
      <x:c r="D25" s="85" t="n">
        <x:v>5</x:v>
      </x:c>
      <x:c r="E25" s="67" t="str">
        <x:v>Partial</x:v>
      </x:c>
      <x:c r="F25" s="67" t="str">
        <x:v>Logging standard and sample alert list</x:v>
      </x:c>
      <x:c r="G25" s="67" t="str">
        <x:v>Moderate</x:v>
      </x:c>
      <x:c r="H25" s="86" t="n">
        <x:f>IF(E25="Yes",1,IF(E25="Partial",0.5,IF(E25="No",0,"")))</x:f>
        <x:v>0.5</x:v>
      </x:c>
      <x:c r="I25" s="86" t="n">
        <x:f>IF(E25="N/A",0,D25*H25)</x:f>
        <x:v>2.5</x:v>
      </x:c>
      <x:c r="J25" s="86" t="n">
        <x:f>IF(E25="N/A",0,D25)</x:f>
        <x:v>5</x:v>
      </x:c>
      <x:c r="K25" s="72" t="n">
        <x:f>IF(J25=0,"",I25/J25)</x:f>
        <x:v>0.5</x:v>
      </x:c>
      <x:c r="L25" s="67" t="str">
        <x:f>IF(E25="N/A","N/A",IF((J25-I25)&gt;=2.5,"High",IF((J25-I25)&gt;=1.5,"Moderate","Low")))</x:f>
        <x:v>High</x:v>
      </x:c>
      <x:c r="M25" s="67" t="str">
        <x:v>TRN-R001; TRN-R012</x:v>
      </x:c>
      <x:c r="N25" s="67" t="str">
        <x:v>Coverage exists; data-access alert coverage is unclear.</x:v>
      </x:c>
      <x:c r="O25" s="67" t="str">
        <x:v>Document Trainory-specific alert coverage and log retention.</x:v>
      </x:c>
      <x:c r="P25" s="67" t="str">
        <x:v>Cybersecurity / IT</x:v>
      </x:c>
      <x:c r="Q25" s="67" t="str">
        <x:v>Open</x:v>
      </x:c>
    </x:row>
    <x:row r="26" ht="68" customHeight="1">
      <x:c r="A26" s="67" t="str">
        <x:v>VRM-15</x:v>
      </x:c>
      <x:c r="B26" s="67" t="str">
        <x:v>Monitoring &amp; Response</x:v>
      </x:c>
      <x:c r="C26" s="67" t="str">
        <x:v>Does the vendor maintain and exercise an incident-response plan?</x:v>
      </x:c>
      <x:c r="D26" s="85" t="n">
        <x:v>5</x:v>
      </x:c>
      <x:c r="E26" s="67" t="str">
        <x:v>Yes</x:v>
      </x:c>
      <x:c r="F26" s="67" t="str">
        <x:v>Incident-response plan and exercise record</x:v>
      </x:c>
      <x:c r="G26" s="67" t="str">
        <x:v>Strong</x:v>
      </x:c>
      <x:c r="H26" s="86" t="n">
        <x:f>IF(E26="Yes",1,IF(E26="Partial",0.5,IF(E26="No",0,"")))</x:f>
        <x:v>1</x:v>
      </x:c>
      <x:c r="I26" s="86" t="n">
        <x:f>IF(E26="N/A",0,D26*H26)</x:f>
        <x:v>5</x:v>
      </x:c>
      <x:c r="J26" s="86" t="n">
        <x:f>IF(E26="N/A",0,D26)</x:f>
        <x:v>5</x:v>
      </x:c>
      <x:c r="K26" s="72" t="n">
        <x:f>IF(J26=0,"",I26/J26)</x:f>
        <x:v>1</x:v>
      </x:c>
      <x:c r="L26" s="67" t="str">
        <x:f>IF(E26="N/A","N/A",IF((J26-I26)&gt;=2.5,"High",IF((J26-I26)&gt;=1.5,"Moderate","Low")))</x:f>
        <x:v>Low</x:v>
      </x:c>
      <x:c r="M26" s="67" t="str">
        <x:v>TRN-R009; TRN-R012</x:v>
      </x:c>
      <x:c r="N26" s="67" t="str">
        <x:v>Annual exercise evidence was provided.</x:v>
      </x:c>
      <x:c r="O26" s="67" t="str">
        <x:v>Participate in a joint notification test after onboarding.</x:v>
      </x:c>
      <x:c r="P26" s="67" t="str">
        <x:v>Cybersecurity / Compliance</x:v>
      </x:c>
      <x:c r="Q26" s="67" t="str">
        <x:v>Complete</x:v>
      </x:c>
    </x:row>
    <x:row r="27" ht="68" customHeight="1">
      <x:c r="A27" s="67" t="str">
        <x:v>VRM-16</x:v>
      </x:c>
      <x:c r="B27" s="67" t="str">
        <x:v>Monitoring &amp; Response</x:v>
      </x:c>
      <x:c r="C27" s="67" t="str">
        <x:v>Will the vendor contractually notify Trainory promptly of relevant security incidents?</x:v>
      </x:c>
      <x:c r="D27" s="85" t="n">
        <x:v>5</x:v>
      </x:c>
      <x:c r="E27" s="67" t="str">
        <x:v>Partial</x:v>
      </x:c>
      <x:c r="F27" s="67" t="str">
        <x:v>Draft contract specifies 72 hours after confirmation</x:v>
      </x:c>
      <x:c r="G27" s="67" t="str">
        <x:v>Weak</x:v>
      </x:c>
      <x:c r="H27" s="86" t="n">
        <x:f>IF(E27="Yes",1,IF(E27="Partial",0.5,IF(E27="No",0,"")))</x:f>
        <x:v>0.5</x:v>
      </x:c>
      <x:c r="I27" s="86" t="n">
        <x:f>IF(E27="N/A",0,D27*H27)</x:f>
        <x:v>2.5</x:v>
      </x:c>
      <x:c r="J27" s="86" t="n">
        <x:f>IF(E27="N/A",0,D27)</x:f>
        <x:v>5</x:v>
      </x:c>
      <x:c r="K27" s="72" t="n">
        <x:f>IF(J27=0,"",I27/J27)</x:f>
        <x:v>0.5</x:v>
      </x:c>
      <x:c r="L27" s="67" t="str">
        <x:f>IF(E27="N/A","N/A",IF((J27-I27)&gt;=2.5,"High",IF((J27-I27)&gt;=1.5,"Moderate","Low")))</x:f>
        <x:v>High</x:v>
      </x:c>
      <x:c r="M27" s="67" t="str">
        <x:v>TRN-R009; TRN-R013</x:v>
      </x:c>
      <x:c r="N27" s="67" t="str">
        <x:v>Timing may delay Trainory's assessment and communications.</x:v>
      </x:c>
      <x:c r="O27" s="67" t="str">
        <x:v>Negotiate notice without undue delay and within 24 hours of confirmed impact.</x:v>
      </x:c>
      <x:c r="P27" s="67" t="str">
        <x:v>Privacy / Legal</x:v>
      </x:c>
      <x:c r="Q27" s="67" t="str">
        <x:v>Open</x:v>
      </x:c>
    </x:row>
    <x:row r="28" ht="68" customHeight="1">
      <x:c r="A28" s="67" t="str">
        <x:v>VRM-17</x:v>
      </x:c>
      <x:c r="B28" s="67" t="str">
        <x:v>Resilience</x:v>
      </x:c>
      <x:c r="C28" s="67" t="str">
        <x:v>Are backup scope, frequency, isolation, and restoration responsibilities documented?</x:v>
      </x:c>
      <x:c r="D28" s="85" t="n">
        <x:v>5</x:v>
      </x:c>
      <x:c r="E28" s="67" t="str">
        <x:v>Yes</x:v>
      </x:c>
      <x:c r="F28" s="67" t="str">
        <x:v>Backup standard</x:v>
      </x:c>
      <x:c r="G28" s="67" t="str">
        <x:v>Moderate</x:v>
      </x:c>
      <x:c r="H28" s="86" t="n">
        <x:f>IF(E28="Yes",1,IF(E28="Partial",0.5,IF(E28="No",0,"")))</x:f>
        <x:v>1</x:v>
      </x:c>
      <x:c r="I28" s="86" t="n">
        <x:f>IF(E28="N/A",0,D28*H28)</x:f>
        <x:v>5</x:v>
      </x:c>
      <x:c r="J28" s="86" t="n">
        <x:f>IF(E28="N/A",0,D28)</x:f>
        <x:v>5</x:v>
      </x:c>
      <x:c r="K28" s="72" t="n">
        <x:f>IF(J28=0,"",I28/J28)</x:f>
        <x:v>1</x:v>
      </x:c>
      <x:c r="L28" s="67" t="str">
        <x:f>IF(E28="N/A","N/A",IF((J28-I28)&gt;=2.5,"High",IF((J28-I28)&gt;=1.5,"Moderate","Low")))</x:f>
        <x:v>Low</x:v>
      </x:c>
      <x:c r="M28" s="67" t="str">
        <x:v>TRN-R011</x:v>
      </x:c>
      <x:c r="N28" s="67" t="str">
        <x:v>Backup design is documented.</x:v>
      </x:c>
      <x:c r="O28" s="67" t="str">
        <x:v>Confirm Trainory data is included and protected from vendor administrators.</x:v>
      </x:c>
      <x:c r="P28" s="67" t="str">
        <x:v>Cloud Engineering</x:v>
      </x:c>
      <x:c r="Q28" s="67" t="str">
        <x:v>In Progress</x:v>
      </x:c>
    </x:row>
    <x:row r="29" ht="68" customHeight="1">
      <x:c r="A29" s="67" t="str">
        <x:v>VRM-18</x:v>
      </x:c>
      <x:c r="B29" s="67" t="str">
        <x:v>Resilience</x:v>
      </x:c>
      <x:c r="C29" s="67" t="str">
        <x:v>Has the vendor tested disaster recovery and provided results against recovery objectives?</x:v>
      </x:c>
      <x:c r="D29" s="85" t="n">
        <x:v>5</x:v>
      </x:c>
      <x:c r="E29" s="67" t="str">
        <x:v>No</x:v>
      </x:c>
      <x:c r="F29" s="67" t="str">
        <x:v>No current test report provided</x:v>
      </x:c>
      <x:c r="G29" s="67" t="str">
        <x:v>None</x:v>
      </x:c>
      <x:c r="H29" s="86" t="n">
        <x:f>IF(E29="Yes",1,IF(E29="Partial",0.5,IF(E29="No",0,"")))</x:f>
        <x:v>0</x:v>
      </x:c>
      <x:c r="I29" s="86" t="n">
        <x:f>IF(E29="N/A",0,D29*H29)</x:f>
        <x:v>0</x:v>
      </x:c>
      <x:c r="J29" s="86" t="n">
        <x:f>IF(E29="N/A",0,D29)</x:f>
        <x:v>5</x:v>
      </x:c>
      <x:c r="K29" s="72" t="n">
        <x:f>IF(J29=0,"",I29/J29)</x:f>
        <x:v>0</x:v>
      </x:c>
      <x:c r="L29" s="67" t="str">
        <x:f>IF(E29="N/A","N/A",IF((J29-I29)&gt;=2.5,"High",IF((J29-I29)&gt;=1.5,"Moderate","Low")))</x:f>
        <x:v>High</x:v>
      </x:c>
      <x:c r="M29" s="67" t="str">
        <x:v>TRN-R011; TRN-R015</x:v>
      </x:c>
      <x:c r="N29" s="67" t="str">
        <x:v>Recovery capability is unverified.</x:v>
      </x:c>
      <x:c r="O29" s="67" t="str">
        <x:v>Require a recent DR-test summary, issues, and remediation evidence before production.</x:v>
      </x:c>
      <x:c r="P29" s="67" t="str">
        <x:v>Vendor Management</x:v>
      </x:c>
      <x:c r="Q29" s="67" t="str">
        <x:v>Open</x:v>
      </x:c>
    </x:row>
    <x:row r="30" ht="68" customHeight="1">
      <x:c r="A30" s="67" t="str">
        <x:v>VRM-19</x:v>
      </x:c>
      <x:c r="B30" s="67" t="str">
        <x:v>Resilience</x:v>
      </x:c>
      <x:c r="C30" s="67" t="str">
        <x:v>Are uptime commitments, escalation contacts, and continuity procedures contractually defined?</x:v>
      </x:c>
      <x:c r="D30" s="85" t="n">
        <x:v>4</x:v>
      </x:c>
      <x:c r="E30" s="67" t="str">
        <x:v>Partial</x:v>
      </x:c>
      <x:c r="F30" s="67" t="str">
        <x:v>Draft SLA and escalation list</x:v>
      </x:c>
      <x:c r="G30" s="67" t="str">
        <x:v>Moderate</x:v>
      </x:c>
      <x:c r="H30" s="86" t="n">
        <x:f>IF(E30="Yes",1,IF(E30="Partial",0.5,IF(E30="No",0,"")))</x:f>
        <x:v>0.5</x:v>
      </x:c>
      <x:c r="I30" s="86" t="n">
        <x:f>IF(E30="N/A",0,D30*H30)</x:f>
        <x:v>2</x:v>
      </x:c>
      <x:c r="J30" s="86" t="n">
        <x:f>IF(E30="N/A",0,D30)</x:f>
        <x:v>4</x:v>
      </x:c>
      <x:c r="K30" s="72" t="n">
        <x:f>IF(J30=0,"",I30/J30)</x:f>
        <x:v>0.5</x:v>
      </x:c>
      <x:c r="L30" s="67" t="str">
        <x:f>IF(E30="N/A","N/A",IF((J30-I30)&gt;=2.5,"High",IF((J30-I30)&gt;=1.5,"Moderate","Low")))</x:f>
        <x:v>Moderate</x:v>
      </x:c>
      <x:c r="M30" s="67" t="str">
        <x:v>TRN-R009; TRN-R015</x:v>
      </x:c>
      <x:c r="N30" s="67" t="str">
        <x:v>Availability target exists; service-credit and escalation details remain open.</x:v>
      </x:c>
      <x:c r="O30" s="67" t="str">
        <x:v>Finalize SLA, escalation, and planned-maintenance terms.</x:v>
      </x:c>
      <x:c r="P30" s="67" t="str">
        <x:v>Product Management</x:v>
      </x:c>
      <x:c r="Q30" s="67" t="str">
        <x:v>In Progress</x:v>
      </x:c>
    </x:row>
    <x:row r="31" ht="68" customHeight="1">
      <x:c r="A31" s="67" t="str">
        <x:v>VRM-20</x:v>
      </x:c>
      <x:c r="B31" s="67" t="str">
        <x:v>Privacy</x:v>
      </x:c>
      <x:c r="C31" s="67" t="str">
        <x:v>Are collection, use, sharing, and consent responsibilities defined for wellness data?</x:v>
      </x:c>
      <x:c r="D31" s="85" t="n">
        <x:v>5</x:v>
      </x:c>
      <x:c r="E31" s="67" t="str">
        <x:v>Yes</x:v>
      </x:c>
      <x:c r="F31" s="67" t="str">
        <x:v>Privacy notice, data-flow diagram, and DPA draft</x:v>
      </x:c>
      <x:c r="G31" s="67" t="str">
        <x:v>Moderate</x:v>
      </x:c>
      <x:c r="H31" s="86" t="n">
        <x:f>IF(E31="Yes",1,IF(E31="Partial",0.5,IF(E31="No",0,"")))</x:f>
        <x:v>1</x:v>
      </x:c>
      <x:c r="I31" s="86" t="n">
        <x:f>IF(E31="N/A",0,D31*H31)</x:f>
        <x:v>5</x:v>
      </x:c>
      <x:c r="J31" s="86" t="n">
        <x:f>IF(E31="N/A",0,D31)</x:f>
        <x:v>5</x:v>
      </x:c>
      <x:c r="K31" s="72" t="n">
        <x:f>IF(J31=0,"",I31/J31)</x:f>
        <x:v>1</x:v>
      </x:c>
      <x:c r="L31" s="67" t="str">
        <x:f>IF(E31="N/A","N/A",IF((J31-I31)&gt;=2.5,"High",IF((J31-I31)&gt;=1.5,"Moderate","Low")))</x:f>
        <x:v>Low</x:v>
      </x:c>
      <x:c r="M31" s="67" t="str">
        <x:v>TRN-R013</x:v>
      </x:c>
      <x:c r="N31" s="67" t="str">
        <x:v>Purposes are identified; Trainory must configure scopes consistently.</x:v>
      </x:c>
      <x:c r="O31" s="67" t="str">
        <x:v>Limit imported fields to approved business purposes.</x:v>
      </x:c>
      <x:c r="P31" s="67" t="str">
        <x:v>Privacy / Legal</x:v>
      </x:c>
      <x:c r="Q31" s="67" t="str">
        <x:v>Complete</x:v>
      </x:c>
    </x:row>
    <x:row r="32" ht="68" customHeight="1">
      <x:c r="A32" s="67" t="str">
        <x:v>VRM-21</x:v>
      </x:c>
      <x:c r="B32" s="67" t="str">
        <x:v>Privacy</x:v>
      </x:c>
      <x:c r="C32" s="67" t="str">
        <x:v>Are retention periods and secure deletion requirements defined and verifiable?</x:v>
      </x:c>
      <x:c r="D32" s="85" t="n">
        <x:v>5</x:v>
      </x:c>
      <x:c r="E32" s="67" t="str">
        <x:v>No</x:v>
      </x:c>
      <x:c r="F32" s="67" t="str">
        <x:v>Generic privacy policy; no Trainory-specific schedule</x:v>
      </x:c>
      <x:c r="G32" s="67" t="str">
        <x:v>None</x:v>
      </x:c>
      <x:c r="H32" s="86" t="n">
        <x:f>IF(E32="Yes",1,IF(E32="Partial",0.5,IF(E32="No",0,"")))</x:f>
        <x:v>0</x:v>
      </x:c>
      <x:c r="I32" s="86" t="n">
        <x:f>IF(E32="N/A",0,D32*H32)</x:f>
        <x:v>0</x:v>
      </x:c>
      <x:c r="J32" s="86" t="n">
        <x:f>IF(E32="N/A",0,D32)</x:f>
        <x:v>5</x:v>
      </x:c>
      <x:c r="K32" s="72" t="n">
        <x:f>IF(J32=0,"",I32/J32)</x:f>
        <x:v>0</x:v>
      </x:c>
      <x:c r="L32" s="67" t="str">
        <x:f>IF(E32="N/A","N/A",IF((J32-I32)&gt;=2.5,"High",IF((J32-I32)&gt;=1.5,"Moderate","Low")))</x:f>
        <x:v>High</x:v>
      </x:c>
      <x:c r="M32" s="67" t="str">
        <x:v>TRN-R013</x:v>
      </x:c>
      <x:c r="N32" s="67" t="str">
        <x:v>Deletion timing and backup deletion are not defined.</x:v>
      </x:c>
      <x:c r="O32" s="67" t="str">
        <x:v>Add contract schedule for retention, deletion, backups, and deletion confirmation.</x:v>
      </x:c>
      <x:c r="P32" s="67" t="str">
        <x:v>Privacy / Legal</x:v>
      </x:c>
      <x:c r="Q32" s="67" t="str">
        <x:v>Open</x:v>
      </x:c>
    </x:row>
    <x:row r="33" ht="68" customHeight="1">
      <x:c r="A33" s="67" t="str">
        <x:v>VRM-22</x:v>
      </x:c>
      <x:c r="B33" s="67" t="str">
        <x:v>Privacy</x:v>
      </x:c>
      <x:c r="C33" s="67" t="str">
        <x:v>Can the vendor support access, correction, export, and deletion requests?</x:v>
      </x:c>
      <x:c r="D33" s="85" t="n">
        <x:v>4</x:v>
      </x:c>
      <x:c r="E33" s="67" t="str">
        <x:v>Partial</x:v>
      </x:c>
      <x:c r="F33" s="67" t="str">
        <x:v>Privacy request procedure</x:v>
      </x:c>
      <x:c r="G33" s="67" t="str">
        <x:v>Moderate</x:v>
      </x:c>
      <x:c r="H33" s="86" t="n">
        <x:f>IF(E33="Yes",1,IF(E33="Partial",0.5,IF(E33="No",0,"")))</x:f>
        <x:v>0.5</x:v>
      </x:c>
      <x:c r="I33" s="86" t="n">
        <x:f>IF(E33="N/A",0,D33*H33)</x:f>
        <x:v>2</x:v>
      </x:c>
      <x:c r="J33" s="86" t="n">
        <x:f>IF(E33="N/A",0,D33)</x:f>
        <x:v>4</x:v>
      </x:c>
      <x:c r="K33" s="72" t="n">
        <x:f>IF(J33=0,"",I33/J33)</x:f>
        <x:v>0.5</x:v>
      </x:c>
      <x:c r="L33" s="67" t="str">
        <x:f>IF(E33="N/A","N/A",IF((J33-I33)&gt;=2.5,"High",IF((J33-I33)&gt;=1.5,"Moderate","Low")))</x:f>
        <x:v>Moderate</x:v>
      </x:c>
      <x:c r="M33" s="67" t="str">
        <x:v>TRN-R013</x:v>
      </x:c>
      <x:c r="N33" s="67" t="str">
        <x:v>Process exists; completion SLA and API support are unclear.</x:v>
      </x:c>
      <x:c r="O33" s="67" t="str">
        <x:v>Document request workflow and response SLA.</x:v>
      </x:c>
      <x:c r="P33" s="67" t="str">
        <x:v>Privacy / Legal</x:v>
      </x:c>
      <x:c r="Q33" s="67" t="str">
        <x:v>In Progress</x:v>
      </x:c>
    </x:row>
    <x:row r="34" ht="68" customHeight="1">
      <x:c r="A34" s="67" t="str">
        <x:v>VRM-23</x:v>
      </x:c>
      <x:c r="B34" s="67" t="str">
        <x:v>Third Parties</x:v>
      </x:c>
      <x:c r="C34" s="67" t="str">
        <x:v>Does the vendor maintain and disclose subprocessors that may access Trainory data?</x:v>
      </x:c>
      <x:c r="D34" s="85" t="n">
        <x:v>4</x:v>
      </x:c>
      <x:c r="E34" s="67" t="str">
        <x:v>Yes</x:v>
      </x:c>
      <x:c r="F34" s="67" t="str">
        <x:v>Subprocessor list</x:v>
      </x:c>
      <x:c r="G34" s="67" t="str">
        <x:v>Moderate</x:v>
      </x:c>
      <x:c r="H34" s="86" t="n">
        <x:f>IF(E34="Yes",1,IF(E34="Partial",0.5,IF(E34="No",0,"")))</x:f>
        <x:v>1</x:v>
      </x:c>
      <x:c r="I34" s="86" t="n">
        <x:f>IF(E34="N/A",0,D34*H34)</x:f>
        <x:v>4</x:v>
      </x:c>
      <x:c r="J34" s="86" t="n">
        <x:f>IF(E34="N/A",0,D34)</x:f>
        <x:v>4</x:v>
      </x:c>
      <x:c r="K34" s="72" t="n">
        <x:f>IF(J34=0,"",I34/J34)</x:f>
        <x:v>1</x:v>
      </x:c>
      <x:c r="L34" s="67" t="str">
        <x:f>IF(E34="N/A","N/A",IF((J34-I34)&gt;=2.5,"High",IF((J34-I34)&gt;=1.5,"Moderate","Low")))</x:f>
        <x:v>Low</x:v>
      </x:c>
      <x:c r="M34" s="67" t="str">
        <x:v>TRN-R009; TRN-R013</x:v>
      </x:c>
      <x:c r="N34" s="67" t="str">
        <x:v>List is available and includes hosting providers.</x:v>
      </x:c>
      <x:c r="O34" s="67" t="str">
        <x:v>Require advance notice of material subprocessor changes.</x:v>
      </x:c>
      <x:c r="P34" s="67" t="str">
        <x:v>Vendor Management</x:v>
      </x:c>
      <x:c r="Q34" s="67" t="str">
        <x:v>Complete</x:v>
      </x:c>
    </x:row>
    <x:row r="35" ht="68" customHeight="1">
      <x:c r="A35" s="67" t="str">
        <x:v>VRM-24</x:v>
      </x:c>
      <x:c r="B35" s="67" t="str">
        <x:v>Third Parties</x:v>
      </x:c>
      <x:c r="C35" s="67" t="str">
        <x:v>Are subprocessors subject to security, privacy, and incident-notification obligations?</x:v>
      </x:c>
      <x:c r="D35" s="85" t="n">
        <x:v>4</x:v>
      </x:c>
      <x:c r="E35" s="67" t="str">
        <x:v>Partial</x:v>
      </x:c>
      <x:c r="F35" s="67" t="str">
        <x:v>Vendor-management policy</x:v>
      </x:c>
      <x:c r="G35" s="67" t="str">
        <x:v>Weak</x:v>
      </x:c>
      <x:c r="H35" s="86" t="n">
        <x:f>IF(E35="Yes",1,IF(E35="Partial",0.5,IF(E35="No",0,"")))</x:f>
        <x:v>0.5</x:v>
      </x:c>
      <x:c r="I35" s="86" t="n">
        <x:f>IF(E35="N/A",0,D35*H35)</x:f>
        <x:v>2</x:v>
      </x:c>
      <x:c r="J35" s="86" t="n">
        <x:f>IF(E35="N/A",0,D35)</x:f>
        <x:v>4</x:v>
      </x:c>
      <x:c r="K35" s="72" t="n">
        <x:f>IF(J35=0,"",I35/J35)</x:f>
        <x:v>0.5</x:v>
      </x:c>
      <x:c r="L35" s="67" t="str">
        <x:f>IF(E35="N/A","N/A",IF((J35-I35)&gt;=2.5,"High",IF((J35-I35)&gt;=1.5,"Moderate","Low")))</x:f>
        <x:v>Moderate</x:v>
      </x:c>
      <x:c r="M35" s="67" t="str">
        <x:v>TRN-R009; TRN-R013</x:v>
      </x:c>
      <x:c r="N35" s="67" t="str">
        <x:v>Contract-flow-down evidence was not provided.</x:v>
      </x:c>
      <x:c r="O35" s="67" t="str">
        <x:v>Obtain contractual attestation or representative clause.</x:v>
      </x:c>
      <x:c r="P35" s="67" t="str">
        <x:v>Privacy / Legal</x:v>
      </x:c>
      <x:c r="Q35" s="67" t="str">
        <x:v>Open</x:v>
      </x:c>
    </x:row>
    <x:row r="36" ht="68" customHeight="1">
      <x:c r="A36" s="67" t="str">
        <x:v>VRM-25</x:v>
      </x:c>
      <x:c r="B36" s="67" t="str">
        <x:v>Third Parties</x:v>
      </x:c>
      <x:c r="C36" s="67" t="str">
        <x:v>Does the agreement permit assurance review, evidence requests, and termination for material security failure?</x:v>
      </x:c>
      <x:c r="D36" s="85" t="n">
        <x:v>5</x:v>
      </x:c>
      <x:c r="E36" s="67" t="str">
        <x:v>Partial</x:v>
      </x:c>
      <x:c r="F36" s="67" t="str">
        <x:v>Draft contract</x:v>
      </x:c>
      <x:c r="G36" s="67" t="str">
        <x:v>Moderate</x:v>
      </x:c>
      <x:c r="H36" s="86" t="n">
        <x:f>IF(E36="Yes",1,IF(E36="Partial",0.5,IF(E36="No",0,"")))</x:f>
        <x:v>0.5</x:v>
      </x:c>
      <x:c r="I36" s="86" t="n">
        <x:f>IF(E36="N/A",0,D36*H36)</x:f>
        <x:v>2.5</x:v>
      </x:c>
      <x:c r="J36" s="86" t="n">
        <x:f>IF(E36="N/A",0,D36)</x:f>
        <x:v>5</x:v>
      </x:c>
      <x:c r="K36" s="72" t="n">
        <x:f>IF(J36=0,"",I36/J36)</x:f>
        <x:v>0.5</x:v>
      </x:c>
      <x:c r="L36" s="67" t="str">
        <x:f>IF(E36="N/A","N/A",IF((J36-I36)&gt;=2.5,"High",IF((J36-I36)&gt;=1.5,"Moderate","Low")))</x:f>
        <x:v>High</x:v>
      </x:c>
      <x:c r="M36" s="67" t="str">
        <x:v>TRN-R009</x:v>
      </x:c>
      <x:c r="N36" s="67" t="str">
        <x:v>Evidence-request right exists; termination language is limited.</x:v>
      </x:c>
      <x:c r="O36" s="67" t="str">
        <x:v>Add audit cooperation and security termination rights.</x:v>
      </x:c>
      <x:c r="P36" s="67" t="str">
        <x:v>Privacy / Legal</x:v>
      </x:c>
      <x:c r="Q36" s="67" t="str">
        <x:v>Open</x:v>
      </x:c>
    </x:row>
  </x:sheetData>
  <x:mergeCells>
    <x:mergeCell ref="A1:Q1"/>
    <x:mergeCell ref="A2:Q2"/>
    <x:mergeCell ref="A4:Q4"/>
    <x:mergeCell ref="A10:Q10"/>
  </x:mergeCells>
  <x:conditionalFormatting sqref="E12:E36">
    <x:cfRule type="containsText" dxfId="0" priority="1" operator="containsText" text="Yes"/>
    <x:cfRule type="containsText" dxfId="1" priority="2" operator="containsText" text="Partial"/>
    <x:cfRule type="containsText" dxfId="2" priority="3" operator="containsText" text="No"/>
  </x:conditionalFormatting>
  <x:conditionalFormatting sqref="L12:L36">
    <x:cfRule type="containsText" dxfId="3" priority="4" operator="containsText" text="High"/>
    <x:cfRule type="containsText" dxfId="4" priority="5" operator="containsText" text="Moderate"/>
    <x:cfRule type="containsText" dxfId="5" priority="6" operator="containsText" text="Low"/>
  </x:conditionalFormatting>
  <x:dataValidations count="3">
    <x:dataValidation type="list" sqref="E12:E36">
      <x:formula1>"Yes,Partial,No,N/A"</x:formula1>
    </x:dataValidation>
    <x:dataValidation type="list" sqref="G12:G36">
      <x:formula1>"Strong,Moderate,Weak,None"</x:formula1>
    </x:dataValidation>
    <x:dataValidation type="list" sqref="Q12:Q36">
      <x:formula1>"Open,In Progress,Complete,Accepted"</x:formula1>
    </x:dataValidation>
  </x:dataValidations>
  <x:pageMargins left="0.7" right="0.7" top="0.75" bottom="0.75" header="0.3" footer="0.3"/>
  <x:tableParts count="1">
    <x:tablePart xmlns:r="http://schemas.openxmlformats.org/officeDocument/2006/relationships" r:id="Rfd98ef80681b445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20" hidden="0" customWidth="1"/>
    <x:col min="3" max="3" width="34" hidden="0" customWidth="1"/>
    <x:col min="4" max="4" width="18" hidden="0" customWidth="1"/>
    <x:col min="5" max="5" width="11" hidden="0" customWidth="1"/>
    <x:col min="6" max="6" width="10" hidden="0" customWidth="1"/>
    <x:col min="7" max="7" width="11" hidden="0" customWidth="1"/>
    <x:col min="8" max="8" width="13" hidden="0" customWidth="1"/>
    <x:col min="9" max="9" width="42" hidden="0" customWidth="1"/>
    <x:col min="10" max="10" width="30" hidden="0" customWidth="1"/>
    <x:col min="11" max="11" width="22" hidden="0" customWidth="1"/>
    <x:col min="12" max="12" width="14" hidden="0" customWidth="1"/>
    <x:col min="13" max="13" width="14" hidden="0" customWidth="1"/>
    <x:col min="14" max="14" width="16" hidden="0" customWidth="1"/>
    <x:col min="15" max="15" width="15" hidden="0" customWidth="1"/>
    <x:col min="16" max="16" width="14" hidden="0" customWidth="1"/>
    <x:col min="17" max="17" width="15" hidden="0" customWidth="1"/>
    <x:col min="18" max="18" width="38" hidden="0" customWidth="1"/>
  </x:cols>
  <x:sheetData>
    <x:row r="1" ht="34" customHeight="1">
      <x:c r="A1" s="60" t="str">
        <x:v>VitaSync Findings and Risk Treatment</x:v>
      </x:c>
      <x:c r="B1" s="60"/>
      <x:c r="C1" s="60"/>
      <x:c r="D1" s="60"/>
      <x:c r="E1" s="60"/>
      <x:c r="F1" s="60"/>
      <x:c r="G1" s="60"/>
      <x:c r="H1" s="60"/>
      <x:c r="I1" s="60"/>
      <x:c r="J1" s="60"/>
      <x:c r="K1" s="60"/>
      <x:c r="L1" s="60"/>
      <x:c r="M1" s="60"/>
      <x:c r="N1" s="60"/>
      <x:c r="O1" s="60"/>
      <x:c r="P1" s="60"/>
      <x:c r="Q1" s="60"/>
      <x:c r="R1" s="60"/>
    </x:row>
    <x:row r="2" ht="24" customHeight="1">
      <x:c r="A2" s="61" t="str">
        <x:v>Material gaps requiring remediation, contractual conditions, or formal acceptance</x:v>
      </x:c>
      <x:c r="B2" s="61"/>
      <x:c r="C2" s="61"/>
      <x:c r="D2" s="61"/>
      <x:c r="E2" s="61"/>
      <x:c r="F2" s="61"/>
      <x:c r="G2" s="61"/>
      <x:c r="H2" s="61"/>
      <x:c r="I2" s="61"/>
      <x:c r="J2" s="61"/>
      <x:c r="K2" s="61"/>
      <x:c r="L2" s="61"/>
      <x:c r="M2" s="61"/>
      <x:c r="N2" s="61"/>
      <x:c r="O2" s="61"/>
      <x:c r="P2" s="61"/>
      <x:c r="Q2" s="61"/>
      <x:c r="R2" s="61"/>
    </x:row>
    <x:row r="3">
      <x:c r="A3" s="62"/>
      <x:c r="B3" s="62"/>
      <x:c r="C3" s="62"/>
      <x:c r="D3" s="62"/>
      <x:c r="E3" s="62"/>
      <x:c r="F3" s="62"/>
      <x:c r="G3" s="62"/>
      <x:c r="H3" s="62"/>
      <x:c r="I3" s="62"/>
      <x:c r="J3" s="62"/>
      <x:c r="K3" s="62"/>
      <x:c r="L3" s="62"/>
      <x:c r="M3" s="62"/>
      <x:c r="N3" s="62"/>
      <x:c r="O3" s="62"/>
      <x:c r="P3" s="62"/>
      <x:c r="Q3" s="62"/>
      <x:c r="R3" s="62"/>
    </x:row>
    <x:row r="4" ht="23" customHeight="1">
      <x:c r="A4" s="63" t="str">
        <x:v>Findings summary</x:v>
      </x:c>
      <x:c r="B4" s="64"/>
      <x:c r="C4" s="64"/>
      <x:c r="D4" s="64"/>
      <x:c r="E4" s="64"/>
      <x:c r="F4" s="64"/>
      <x:c r="G4" s="64"/>
      <x:c r="H4" s="64"/>
      <x:c r="I4" s="64"/>
      <x:c r="J4" s="64"/>
      <x:c r="K4" s="64"/>
      <x:c r="L4" s="64"/>
      <x:c r="M4" s="64"/>
      <x:c r="N4" s="64"/>
      <x:c r="O4" s="64"/>
      <x:c r="P4" s="64"/>
      <x:c r="Q4" s="64"/>
      <x:c r="R4" s="65"/>
    </x:row>
    <x:row r="5">
      <x:c r="A5" s="66" t="str">
        <x:v>Total findings</x:v>
      </x:c>
      <x:c r="B5" s="67" t="n">
        <x:f>COUNTA(A12:A17)</x:f>
        <x:v>6</x:v>
      </x:c>
      <x:c r="C5" s="62"/>
      <x:c r="D5" s="62"/>
      <x:c r="E5" s="62"/>
      <x:c r="F5" s="62"/>
      <x:c r="G5" s="62"/>
      <x:c r="H5" s="62"/>
      <x:c r="I5" s="62"/>
      <x:c r="J5" s="62"/>
      <x:c r="K5" s="62"/>
      <x:c r="L5" s="62"/>
      <x:c r="M5" s="62"/>
      <x:c r="N5" s="62"/>
      <x:c r="O5" s="62"/>
      <x:c r="P5" s="62"/>
      <x:c r="Q5" s="62"/>
      <x:c r="R5" s="62"/>
    </x:row>
    <x:row r="6">
      <x:c r="A6" s="66" t="str">
        <x:v>Critical</x:v>
      </x:c>
      <x:c r="B6" s="67" t="n">
        <x:f>COUNTIF(H12:H17,"Critical")</x:f>
        <x:v>3</x:v>
      </x:c>
      <x:c r="C6" s="62"/>
      <x:c r="D6" s="62"/>
      <x:c r="E6" s="62"/>
      <x:c r="F6" s="62"/>
      <x:c r="G6" s="62"/>
      <x:c r="H6" s="62"/>
      <x:c r="I6" s="62"/>
      <x:c r="J6" s="62"/>
      <x:c r="K6" s="62"/>
      <x:c r="L6" s="62"/>
      <x:c r="M6" s="62"/>
      <x:c r="N6" s="62"/>
      <x:c r="O6" s="62"/>
      <x:c r="P6" s="62"/>
      <x:c r="Q6" s="62"/>
      <x:c r="R6" s="62"/>
    </x:row>
    <x:row r="7">
      <x:c r="A7" s="66" t="str">
        <x:v>High</x:v>
      </x:c>
      <x:c r="B7" s="67" t="n">
        <x:f>COUNTIF(H12:H17,"High")</x:f>
        <x:v>3</x:v>
      </x:c>
      <x:c r="C7" s="62"/>
      <x:c r="D7" s="62"/>
      <x:c r="E7" s="62"/>
      <x:c r="F7" s="62"/>
      <x:c r="G7" s="62"/>
      <x:c r="H7" s="62"/>
      <x:c r="I7" s="62"/>
      <x:c r="J7" s="62"/>
      <x:c r="K7" s="62"/>
      <x:c r="L7" s="62"/>
      <x:c r="M7" s="62"/>
      <x:c r="N7" s="62"/>
      <x:c r="O7" s="62"/>
      <x:c r="P7" s="62"/>
      <x:c r="Q7" s="62"/>
      <x:c r="R7" s="62"/>
    </x:row>
    <x:row r="8">
      <x:c r="A8" s="66" t="str">
        <x:v>Open / In Progress</x:v>
      </x:c>
      <x:c r="B8" s="67" t="n">
        <x:f>COUNTIF(M12:M17,"Open")+COUNTIF(M12:M17,"In Progress")</x:f>
        <x:v>6</x:v>
      </x:c>
      <x:c r="C8" s="62"/>
      <x:c r="D8" s="62"/>
      <x:c r="E8" s="62"/>
      <x:c r="F8" s="62"/>
      <x:c r="G8" s="62"/>
      <x:c r="H8" s="62"/>
      <x:c r="I8" s="62"/>
      <x:c r="J8" s="62"/>
      <x:c r="K8" s="62"/>
      <x:c r="L8" s="62"/>
      <x:c r="M8" s="62"/>
      <x:c r="N8" s="62"/>
      <x:c r="O8" s="62"/>
      <x:c r="P8" s="62"/>
      <x:c r="Q8" s="62"/>
      <x:c r="R8" s="62"/>
    </x:row>
    <x:row r="9">
      <x:c r="A9" s="66" t="str">
        <x:v>Recommended treatment</x:v>
      </x:c>
      <x:c r="B9" s="67" t="str">
        <x:v>Mitigate through pre-launch conditions</x:v>
      </x:c>
      <x:c r="C9" s="62"/>
      <x:c r="D9" s="62"/>
      <x:c r="E9" s="62"/>
      <x:c r="F9" s="62"/>
      <x:c r="G9" s="62"/>
      <x:c r="H9" s="62"/>
      <x:c r="I9" s="62"/>
      <x:c r="J9" s="62"/>
      <x:c r="K9" s="62"/>
      <x:c r="L9" s="62"/>
      <x:c r="M9" s="62"/>
      <x:c r="N9" s="62"/>
      <x:c r="O9" s="62"/>
      <x:c r="P9" s="62"/>
      <x:c r="Q9" s="62"/>
      <x:c r="R9" s="62"/>
    </x:row>
    <x:row r="10">
      <x:c r="A10" s="62"/>
      <x:c r="B10" s="62"/>
      <x:c r="C10" s="62"/>
      <x:c r="D10" s="62"/>
      <x:c r="E10" s="62"/>
      <x:c r="F10" s="62"/>
      <x:c r="G10" s="62"/>
      <x:c r="H10" s="62"/>
      <x:c r="I10" s="62"/>
      <x:c r="J10" s="62"/>
      <x:c r="K10" s="62"/>
      <x:c r="L10" s="62"/>
      <x:c r="M10" s="62"/>
      <x:c r="N10" s="62"/>
      <x:c r="O10" s="62"/>
      <x:c r="P10" s="62"/>
      <x:c r="Q10" s="62"/>
      <x:c r="R10" s="62"/>
    </x:row>
    <x:row r="11" ht="34" customHeight="1">
      <x:c r="A11" s="71" t="str">
        <x:v>Finding ID</x:v>
      </x:c>
      <x:c r="B11" s="71" t="str">
        <x:v>Domain</x:v>
      </x:c>
      <x:c r="C11" s="71" t="str">
        <x:v>Finding</x:v>
      </x:c>
      <x:c r="D11" s="71" t="str">
        <x:v>Linked questions</x:v>
      </x:c>
      <x:c r="E11" s="71" t="str">
        <x:v>Likelihood</x:v>
      </x:c>
      <x:c r="F11" s="71" t="str">
        <x:v>Impact</x:v>
      </x:c>
      <x:c r="G11" s="71" t="str">
        <x:v>Risk score</x:v>
      </x:c>
      <x:c r="H11" s="71" t="str">
        <x:v>Rating</x:v>
      </x:c>
      <x:c r="I11" s="71" t="str">
        <x:v>Recommendation</x:v>
      </x:c>
      <x:c r="J11" s="71" t="str">
        <x:v>Vendor commitment</x:v>
      </x:c>
      <x:c r="K11" s="71" t="str">
        <x:v>Trainory owner</x:v>
      </x:c>
      <x:c r="L11" s="71" t="str">
        <x:v>Target date</x:v>
      </x:c>
      <x:c r="M11" s="71" t="str">
        <x:v>Status</x:v>
      </x:c>
      <x:c r="N11" s="71" t="str">
        <x:v>Residual likelihood</x:v>
      </x:c>
      <x:c r="O11" s="71" t="str">
        <x:v>Residual impact</x:v>
      </x:c>
      <x:c r="P11" s="71" t="str">
        <x:v>Residual score</x:v>
      </x:c>
      <x:c r="Q11" s="71" t="str">
        <x:v>Residual rating</x:v>
      </x:c>
      <x:c r="R11" s="71" t="str">
        <x:v>Decision / rationale</x:v>
      </x:c>
    </x:row>
    <x:row r="12" ht="88" customHeight="1">
      <x:c r="A12" s="67" t="str">
        <x:v>VRF-01</x:v>
      </x:c>
      <x:c r="B12" s="67" t="str">
        <x:v>Governance</x:v>
      </x:c>
      <x:c r="C12" s="67" t="str">
        <x:v>Independent control assurance is incomplete.</x:v>
      </x:c>
      <x:c r="D12" s="67" t="str">
        <x:v>VRM-02</x:v>
      </x:c>
      <x:c r="E12" s="85" t="n">
        <x:v>3</x:v>
      </x:c>
      <x:c r="F12" s="85" t="n">
        <x:v>4</x:v>
      </x:c>
      <x:c r="G12" s="85" t="n">
        <x:f>E12*F12</x:f>
        <x:v>12</x:v>
      </x:c>
      <x:c r="H12" s="67" t="str">
        <x:f>IF(G12&lt;=4,"Low",IF(G12&lt;=9,"Moderate",IF(G12&lt;=16,"High","Critical")))</x:f>
        <x:v>High</x:v>
      </x:c>
      <x:c r="I12" s="67" t="str">
        <x:v>Require a current SOC 2 Type II report or equivalent assurance package before broad production rollout.</x:v>
      </x:c>
      <x:c r="J12" s="67" t="str">
        <x:v>Provide assurance package under NDA.</x:v>
      </x:c>
      <x:c r="K12" s="67" t="str">
        <x:v>Vendor Management</x:v>
      </x:c>
      <x:c r="L12" s="70" t="n">
        <x:v>46341</x:v>
      </x:c>
      <x:c r="M12" s="67" t="str">
        <x:v>Open</x:v>
      </x:c>
      <x:c r="N12" s="85" t="n">
        <x:v>2</x:v>
      </x:c>
      <x:c r="O12" s="85" t="n">
        <x:v>4</x:v>
      </x:c>
      <x:c r="P12" s="85" t="n">
        <x:f>N12*O12</x:f>
        <x:v>8</x:v>
      </x:c>
      <x:c r="Q12" s="67" t="str">
        <x:f>IF(P12&lt;=4,"Low",IF(P12&lt;=9,"Moderate",IF(P12&lt;=16,"High","Critical")))</x:f>
        <x:v>Moderate</x:v>
      </x:c>
      <x:c r="R12" s="67" t="str">
        <x:v>Conditional approval; restrict scope until evidence is reviewed.</x:v>
      </x:c>
    </x:row>
    <x:row r="13" ht="88" customHeight="1">
      <x:c r="A13" s="67" t="str">
        <x:v>VRF-02</x:v>
      </x:c>
      <x:c r="B13" s="67" t="str">
        <x:v>Identity &amp; Access</x:v>
      </x:c>
      <x:c r="C13" s="67" t="str">
        <x:v>Privileged-access reviews occur annually rather than quarterly.</x:v>
      </x:c>
      <x:c r="D13" s="67" t="str">
        <x:v>VRM-05</x:v>
      </x:c>
      <x:c r="E13" s="85" t="n">
        <x:v>3</x:v>
      </x:c>
      <x:c r="F13" s="85" t="n">
        <x:v>4</x:v>
      </x:c>
      <x:c r="G13" s="85" t="n">
        <x:f>E13*F13</x:f>
        <x:v>12</x:v>
      </x:c>
      <x:c r="H13" s="67" t="str">
        <x:f>IF(G13&lt;=4,"Low",IF(G13&lt;=9,"Moderate",IF(G13&lt;=16,"High","Critical")))</x:f>
        <x:v>High</x:v>
      </x:c>
      <x:c r="I13" s="67" t="str">
        <x:v>Require quarterly review of privileged roles and remediation evidence.</x:v>
      </x:c>
      <x:c r="J13" s="67" t="str">
        <x:v>Change cadence beginning next quarter.</x:v>
      </x:c>
      <x:c r="K13" s="67" t="str">
        <x:v>Cybersecurity / IT</x:v>
      </x:c>
      <x:c r="L13" s="70" t="n">
        <x:v>46371</x:v>
      </x:c>
      <x:c r="M13" s="67" t="str">
        <x:v>In Progress</x:v>
      </x:c>
      <x:c r="N13" s="85" t="n">
        <x:v>2</x:v>
      </x:c>
      <x:c r="O13" s="85" t="n">
        <x:v>3</x:v>
      </x:c>
      <x:c r="P13" s="85" t="n">
        <x:f>N13*O13</x:f>
        <x:v>6</x:v>
      </x:c>
      <x:c r="Q13" s="67" t="str">
        <x:f>IF(P13&lt;=4,"Low",IF(P13&lt;=9,"Moderate",IF(P13&lt;=16,"High","Critical")))</x:f>
        <x:v>Moderate</x:v>
      </x:c>
      <x:c r="R13" s="67" t="str">
        <x:v>Mitigate through contract condition and recurring evidence.</x:v>
      </x:c>
    </x:row>
    <x:row r="14" ht="88" customHeight="1">
      <x:c r="A14" s="67" t="str">
        <x:v>VRF-03</x:v>
      </x:c>
      <x:c r="B14" s="67" t="str">
        <x:v>Monitoring &amp; Response</x:v>
      </x:c>
      <x:c r="C14" s="67" t="str">
        <x:v>Incident notice is drafted as 72 hours after vendor confirmation.</x:v>
      </x:c>
      <x:c r="D14" s="67" t="str">
        <x:v>VRM-16</x:v>
      </x:c>
      <x:c r="E14" s="85" t="n">
        <x:v>4</x:v>
      </x:c>
      <x:c r="F14" s="85" t="n">
        <x:v>5</x:v>
      </x:c>
      <x:c r="G14" s="85" t="n">
        <x:f>E14*F14</x:f>
        <x:v>20</x:v>
      </x:c>
      <x:c r="H14" s="67" t="str">
        <x:f>IF(G14&lt;=4,"Low",IF(G14&lt;=9,"Moderate",IF(G14&lt;=16,"High","Critical")))</x:f>
        <x:v>Critical</x:v>
      </x:c>
      <x:c r="I14" s="67" t="str">
        <x:v>Require notice without undue delay and within 24 hours of confirmed Trainory impact.</x:v>
      </x:c>
      <x:c r="J14" s="67" t="str">
        <x:v>Contract language under negotiation.</x:v>
      </x:c>
      <x:c r="K14" s="67" t="str">
        <x:v>Privacy / Legal</x:v>
      </x:c>
      <x:c r="L14" s="70" t="n">
        <x:v>46326</x:v>
      </x:c>
      <x:c r="M14" s="67" t="str">
        <x:v>Open</x:v>
      </x:c>
      <x:c r="N14" s="85" t="n">
        <x:v>2</x:v>
      </x:c>
      <x:c r="O14" s="85" t="n">
        <x:v>5</x:v>
      </x:c>
      <x:c r="P14" s="85" t="n">
        <x:f>N14*O14</x:f>
        <x:v>10</x:v>
      </x:c>
      <x:c r="Q14" s="67" t="str">
        <x:f>IF(P14&lt;=4,"Low",IF(P14&lt;=9,"Moderate",IF(P14&lt;=16,"High","Critical")))</x:f>
        <x:v>High</x:v>
      </x:c>
      <x:c r="R14" s="67" t="str">
        <x:v>High priority because delayed notice affects Trainory response and obligations.</x:v>
      </x:c>
    </x:row>
    <x:row r="15" ht="88" customHeight="1">
      <x:c r="A15" s="67" t="str">
        <x:v>VRF-04</x:v>
      </x:c>
      <x:c r="B15" s="67" t="str">
        <x:v>Resilience</x:v>
      </x:c>
      <x:c r="C15" s="67" t="str">
        <x:v>No current disaster-recovery test evidence was provided.</x:v>
      </x:c>
      <x:c r="D15" s="67" t="str">
        <x:v>VRM-18</x:v>
      </x:c>
      <x:c r="E15" s="85" t="n">
        <x:v>4</x:v>
      </x:c>
      <x:c r="F15" s="85" t="n">
        <x:v>5</x:v>
      </x:c>
      <x:c r="G15" s="85" t="n">
        <x:f>E15*F15</x:f>
        <x:v>20</x:v>
      </x:c>
      <x:c r="H15" s="67" t="str">
        <x:f>IF(G15&lt;=4,"Low",IF(G15&lt;=9,"Moderate",IF(G15&lt;=16,"High","Critical")))</x:f>
        <x:v>Critical</x:v>
      </x:c>
      <x:c r="I15" s="67" t="str">
        <x:v>Obtain recent DR test results, recovery objectives, issues, and remediation evidence before production.</x:v>
      </x:c>
      <x:c r="J15" s="67" t="str">
        <x:v>Test summary scheduled for delivery.</x:v>
      </x:c>
      <x:c r="K15" s="67" t="str">
        <x:v>Vendor Management</x:v>
      </x:c>
      <x:c r="L15" s="70" t="n">
        <x:v>46326</x:v>
      </x:c>
      <x:c r="M15" s="67" t="str">
        <x:v>Open</x:v>
      </x:c>
      <x:c r="N15" s="85" t="n">
        <x:v>2</x:v>
      </x:c>
      <x:c r="O15" s="85" t="n">
        <x:v>5</x:v>
      </x:c>
      <x:c r="P15" s="85" t="n">
        <x:f>N15*O15</x:f>
        <x:v>10</x:v>
      </x:c>
      <x:c r="Q15" s="67" t="str">
        <x:f>IF(P15&lt;=4,"Low",IF(P15&lt;=9,"Moderate",IF(P15&lt;=16,"High","Critical")))</x:f>
        <x:v>High</x:v>
      </x:c>
      <x:c r="R15" s="67" t="str">
        <x:v>Production use is not approved until recovery evidence is accepted.</x:v>
      </x:c>
    </x:row>
    <x:row r="16" ht="88" customHeight="1">
      <x:c r="A16" s="67" t="str">
        <x:v>VRF-05</x:v>
      </x:c>
      <x:c r="B16" s="67" t="str">
        <x:v>Privacy</x:v>
      </x:c>
      <x:c r="C16" s="67" t="str">
        <x:v>Retention, backup deletion, and deletion confirmation are not defined.</x:v>
      </x:c>
      <x:c r="D16" s="67" t="str">
        <x:v>VRM-21</x:v>
      </x:c>
      <x:c r="E16" s="85" t="n">
        <x:v>4</x:v>
      </x:c>
      <x:c r="F16" s="85" t="n">
        <x:v>5</x:v>
      </x:c>
      <x:c r="G16" s="85" t="n">
        <x:f>E16*F16</x:f>
        <x:v>20</x:v>
      </x:c>
      <x:c r="H16" s="67" t="str">
        <x:f>IF(G16&lt;=4,"Low",IF(G16&lt;=9,"Moderate",IF(G16&lt;=16,"High","Critical")))</x:f>
        <x:v>Critical</x:v>
      </x:c>
      <x:c r="I16" s="67" t="str">
        <x:v>Add a data-retention and deletion schedule with completion SLA and written confirmation.</x:v>
      </x:c>
      <x:c r="J16" s="67" t="str">
        <x:v>Draft DPA schedule in progress.</x:v>
      </x:c>
      <x:c r="K16" s="67" t="str">
        <x:v>Privacy / Legal</x:v>
      </x:c>
      <x:c r="L16" s="70" t="n">
        <x:v>46341</x:v>
      </x:c>
      <x:c r="M16" s="67" t="str">
        <x:v>In Progress</x:v>
      </x:c>
      <x:c r="N16" s="85" t="n">
        <x:v>2</x:v>
      </x:c>
      <x:c r="O16" s="85" t="n">
        <x:v>5</x:v>
      </x:c>
      <x:c r="P16" s="85" t="n">
        <x:f>N16*O16</x:f>
        <x:v>10</x:v>
      </x:c>
      <x:c r="Q16" s="67" t="str">
        <x:f>IF(P16&lt;=4,"Low",IF(P16&lt;=9,"Moderate",IF(P16&lt;=16,"High","Critical")))</x:f>
        <x:v>High</x:v>
      </x:c>
      <x:c r="R16" s="67" t="str">
        <x:v>Limit data fields and retention until the DPA condition is complete.</x:v>
      </x:c>
    </x:row>
    <x:row r="17" ht="88" customHeight="1">
      <x:c r="A17" s="67" t="str">
        <x:v>VRF-06</x:v>
      </x:c>
      <x:c r="B17" s="67" t="str">
        <x:v>Third Parties</x:v>
      </x:c>
      <x:c r="C17" s="67" t="str">
        <x:v>Evidence that security and notification duties flow to subprocessors is incomplete.</x:v>
      </x:c>
      <x:c r="D17" s="67" t="str">
        <x:v>VRM-24; VRM-25</x:v>
      </x:c>
      <x:c r="E17" s="85" t="n">
        <x:v>3</x:v>
      </x:c>
      <x:c r="F17" s="85" t="n">
        <x:v>4</x:v>
      </x:c>
      <x:c r="G17" s="85" t="n">
        <x:f>E17*F17</x:f>
        <x:v>12</x:v>
      </x:c>
      <x:c r="H17" s="67" t="str">
        <x:f>IF(G17&lt;=4,"Low",IF(G17&lt;=9,"Moderate",IF(G17&lt;=16,"High","Critical")))</x:f>
        <x:v>High</x:v>
      </x:c>
      <x:c r="I17" s="67" t="str">
        <x:v>Obtain contractual attestation, audit-cooperation rights, and termination rights for material security failure.</x:v>
      </x:c>
      <x:c r="J17" s="67" t="str">
        <x:v>Representative clauses will be provided.</x:v>
      </x:c>
      <x:c r="K17" s="67" t="str">
        <x:v>Privacy / Legal</x:v>
      </x:c>
      <x:c r="L17" s="70" t="n">
        <x:v>46356</x:v>
      </x:c>
      <x:c r="M17" s="67" t="str">
        <x:v>Open</x:v>
      </x:c>
      <x:c r="N17" s="85" t="n">
        <x:v>2</x:v>
      </x:c>
      <x:c r="O17" s="85" t="n">
        <x:v>3</x:v>
      </x:c>
      <x:c r="P17" s="85" t="n">
        <x:f>N17*O17</x:f>
        <x:v>6</x:v>
      </x:c>
      <x:c r="Q17" s="67" t="str">
        <x:f>IF(P17&lt;=4,"Low",IF(P17&lt;=9,"Moderate",IF(P17&lt;=16,"High","Critical")))</x:f>
        <x:v>Moderate</x:v>
      </x:c>
      <x:c r="R17" s="67" t="str">
        <x:v>Mitigate through contract and annual evidence review.</x:v>
      </x:c>
    </x:row>
  </x:sheetData>
  <x:mergeCells>
    <x:mergeCell ref="A1:R1"/>
    <x:mergeCell ref="A2:R2"/>
    <x:mergeCell ref="A4:R4"/>
  </x:mergeCells>
  <x:conditionalFormatting sqref="H12:H17">
    <x:cfRule type="containsText" dxfId="6" priority="1" operator="containsText" text="Critical"/>
    <x:cfRule type="containsText" dxfId="7" priority="2" operator="containsText" text="High"/>
    <x:cfRule type="containsText" dxfId="8" priority="3" operator="containsText" text="Moderate"/>
    <x:cfRule type="containsText" dxfId="9" priority="4" operator="containsText" text="Low"/>
  </x:conditionalFormatting>
  <x:conditionalFormatting sqref="Q12:Q17">
    <x:cfRule type="containsText" dxfId="10" priority="5" operator="containsText" text="Critical"/>
    <x:cfRule type="containsText" dxfId="11" priority="6" operator="containsText" text="High"/>
    <x:cfRule type="containsText" dxfId="12" priority="7" operator="containsText" text="Moderate"/>
    <x:cfRule type="containsText" dxfId="13" priority="8" operator="containsText" text="Low"/>
  </x:conditionalFormatting>
  <x:dataValidations count="3">
    <x:dataValidation type="whole" operator="between" sqref="E12:F17">
      <x:formula1>1</x:formula1>
      <x:formula2>5</x:formula2>
    </x:dataValidation>
    <x:dataValidation type="whole" operator="between" sqref="N12:O17">
      <x:formula1>1</x:formula1>
      <x:formula2>5</x:formula2>
    </x:dataValidation>
    <x:dataValidation type="list" sqref="M12:M17">
      <x:formula1>"Open,In Progress,Closed,Accepted"</x:formula1>
    </x:dataValidation>
  </x:dataValidations>
  <x:pageMargins left="0.7" right="0.7" top="0.75" bottom="0.75" header="0.3" footer="0.3"/>
  <x:tableParts count="1">
    <x:tablePart xmlns:r="http://schemas.openxmlformats.org/officeDocument/2006/relationships" r:id="Ra152a6a0340944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82" hidden="0" customWidth="1"/>
    <x:col min="3" max="3" width="70" hidden="0" customWidth="1"/>
  </x:cols>
  <x:sheetData>
    <x:row r="1" ht="28" customHeight="1">
      <x:c r="A1" s="135" t="str">
        <x:v>Vendor Assessment Methodology</x:v>
      </x:c>
      <x:c r="B1" s="135" t="str">
        <x:v>Vendor Assessment Methodology</x:v>
      </x:c>
      <x:c r="C1" s="135" t="str">
        <x:v>Vendor Assessment Methodology</x:v>
      </x:c>
      <x:c r="D1" s="60"/>
      <x:c r="E1" s="60"/>
      <x:c r="F1" s="60"/>
      <x:c r="G1" s="60"/>
      <x:c r="H1" s="60"/>
    </x:row>
    <x:row r="2" ht="22" customHeight="1">
      <x:c r="A2" s="136" t="str">
        <x:v>Review steps, scoring method, evidence requirements, and key terms</x:v>
      </x:c>
      <x:c r="B2" s="136" t="str">
        <x:v>Review steps, scoring method, evidence requirements, and key terms</x:v>
      </x:c>
      <x:c r="C2" s="136" t="str">
        <x:v>Review steps, scoring method, evidence requirements, and key terms</x:v>
      </x:c>
      <x:c r="D2" s="61"/>
      <x:c r="E2" s="61"/>
      <x:c r="F2" s="61"/>
      <x:c r="G2" s="61"/>
      <x:c r="H2" s="61"/>
    </x:row>
    <x:row r="3">
      <x:c r="A3" s="62"/>
      <x:c r="B3" s="62"/>
      <x:c r="C3" s="62"/>
      <x:c r="D3" s="62"/>
      <x:c r="E3" s="62"/>
      <x:c r="F3" s="62"/>
      <x:c r="G3" s="62"/>
      <x:c r="H3" s="62"/>
    </x:row>
    <x:row r="4" ht="23" customHeight="1">
      <x:c r="A4" s="63" t="str">
        <x:v>PURPOSE</x:v>
      </x:c>
      <x:c r="B4" s="64"/>
      <x:c r="C4" s="64"/>
      <x:c r="D4" s="64"/>
      <x:c r="E4" s="64"/>
      <x:c r="F4" s="64"/>
      <x:c r="G4" s="64"/>
      <x:c r="H4" s="65"/>
    </x:row>
    <x:row r="5">
      <x:c r="A5" s="73" t="str">
        <x:v>Evaluates VitaSync's control environment, evidence, residual risk, and conditions for use.</x:v>
      </x:c>
      <x:c r="B5" s="74"/>
      <x:c r="C5" s="74"/>
      <x:c r="D5" s="74"/>
      <x:c r="E5" s="74"/>
      <x:c r="F5" s="74"/>
      <x:c r="G5" s="74"/>
      <x:c r="H5" s="75"/>
    </x:row>
    <x:row r="6">
      <x:c r="A6" s="76"/>
      <x:c r="B6" s="77"/>
      <x:c r="C6" s="77"/>
      <x:c r="D6" s="77"/>
      <x:c r="E6" s="77"/>
      <x:c r="F6" s="77"/>
      <x:c r="G6" s="77"/>
      <x:c r="H6" s="78"/>
    </x:row>
    <x:row r="7">
      <x:c r="A7" s="76"/>
      <x:c r="B7" s="77"/>
      <x:c r="C7" s="77"/>
      <x:c r="D7" s="77"/>
      <x:c r="E7" s="77"/>
      <x:c r="F7" s="77"/>
      <x:c r="G7" s="77"/>
      <x:c r="H7" s="78"/>
    </x:row>
    <x:row r="8">
      <x:c r="A8" s="76"/>
      <x:c r="B8" s="77"/>
      <x:c r="C8" s="77"/>
      <x:c r="D8" s="77"/>
      <x:c r="E8" s="77"/>
      <x:c r="F8" s="77"/>
      <x:c r="G8" s="77"/>
      <x:c r="H8" s="78"/>
    </x:row>
    <x:row r="9">
      <x:c r="A9" s="79"/>
      <x:c r="B9" s="80"/>
      <x:c r="C9" s="80"/>
      <x:c r="D9" s="80"/>
      <x:c r="E9" s="80"/>
      <x:c r="F9" s="80"/>
      <x:c r="G9" s="80"/>
      <x:c r="H9" s="81"/>
    </x:row>
    <x:row r="10">
      <x:c r="A10" s="62"/>
      <x:c r="B10" s="62"/>
      <x:c r="C10" s="62"/>
      <x:c r="D10" s="62"/>
      <x:c r="E10" s="62"/>
      <x:c r="F10" s="62"/>
      <x:c r="G10" s="62"/>
      <x:c r="H10" s="62"/>
    </x:row>
    <x:row r="11" ht="23" customHeight="1">
      <x:c r="A11" s="63" t="str">
        <x:v>ASSESSMENT STRUCTURE</x:v>
      </x:c>
      <x:c r="B11" s="64"/>
      <x:c r="C11" s="64"/>
      <x:c r="D11" s="64"/>
      <x:c r="E11" s="64"/>
      <x:c r="F11" s="64"/>
      <x:c r="G11" s="64"/>
      <x:c r="H11" s="65"/>
    </x:row>
    <x:row r="12" ht="34" customHeight="1">
      <x:c r="A12" s="71" t="str">
        <x:v>Step</x:v>
      </x:c>
      <x:c r="B12" s="71" t="str">
        <x:v>Area</x:v>
      </x:c>
      <x:c r="C12" s="71" t="str">
        <x:v>Content</x:v>
      </x:c>
      <x:c r="D12" s="62"/>
      <x:c r="E12" s="62"/>
      <x:c r="F12" s="62"/>
      <x:c r="G12" s="62"/>
      <x:c r="H12" s="62"/>
    </x:row>
    <x:row r="13" ht="48" customHeight="1">
      <x:c r="A13" s="67" t="n">
        <x:v>1</x:v>
      </x:c>
      <x:c r="B13" s="67" t="str">
        <x:v>Executive Summary</x:v>
      </x:c>
      <x:c r="C13" s="67" t="str">
        <x:v>Business rationale, inherent risk, and conditional recommendation.</x:v>
      </x:c>
      <x:c r="D13" s="62"/>
      <x:c r="E13" s="62"/>
      <x:c r="F13" s="62"/>
      <x:c r="G13" s="62"/>
      <x:c r="H13" s="62"/>
    </x:row>
    <x:row r="14" ht="48" customHeight="1">
      <x:c r="A14" s="67" t="n">
        <x:v>2</x:v>
      </x:c>
      <x:c r="B14" s="67" t="str">
        <x:v>Assessment</x:v>
      </x:c>
      <x:c r="C14" s="67" t="str">
        <x:v>Scoring method, responses, evidence quality, and formula-driven risk flags.</x:v>
      </x:c>
      <x:c r="D14" s="62"/>
      <x:c r="E14" s="62"/>
      <x:c r="F14" s="62"/>
      <x:c r="G14" s="62"/>
      <x:c r="H14" s="62"/>
    </x:row>
    <x:row r="15" ht="48" customHeight="1">
      <x:c r="A15" s="67" t="n">
        <x:v>3</x:v>
      </x:c>
      <x:c r="B15" s="67" t="str">
        <x:v>Findings</x:v>
      </x:c>
      <x:c r="C15" s="67" t="str">
        <x:v>Tracked risks with owners, deadlines, treatments, and residual ratings.</x:v>
      </x:c>
      <x:c r="D15" s="62"/>
      <x:c r="E15" s="62"/>
      <x:c r="F15" s="62"/>
      <x:c r="G15" s="62"/>
      <x:c r="H15" s="62"/>
    </x:row>
    <x:row r="16" ht="48" customHeight="1">
      <x:c r="A16" s="67" t="n">
        <x:v>4</x:v>
      </x:c>
      <x:c r="B16" s="67" t="str">
        <x:v>Decision</x:v>
      </x:c>
      <x:c r="C16" s="67" t="str">
        <x:v>Compensating controls and contractual conditions supporting the decision.</x:v>
      </x:c>
      <x:c r="D16" s="62"/>
      <x:c r="E16" s="62"/>
      <x:c r="F16" s="62"/>
      <x:c r="G16" s="62"/>
      <x:c r="H16" s="62"/>
    </x:row>
    <x:row r="17" ht="48" customHeight="1">
      <x:c r="A17" s="67" t="n">
        <x:v>5</x:v>
      </x:c>
      <x:c r="B17" s="67" t="str">
        <x:v>Follow-up</x:v>
      </x:c>
      <x:c r="C17" s="67" t="str">
        <x:v>Annual reassessment, event-driven review, evidence refresh, and closure validation.</x:v>
      </x:c>
      <x:c r="D17" s="62"/>
      <x:c r="E17" s="62"/>
      <x:c r="F17" s="62"/>
      <x:c r="G17" s="62"/>
      <x:c r="H17" s="62"/>
    </x:row>
    <x:row r="18">
      <x:c r="A18" s="62"/>
      <x:c r="B18" s="62"/>
      <x:c r="C18" s="62"/>
      <x:c r="D18" s="62"/>
      <x:c r="E18" s="62"/>
      <x:c r="F18" s="62"/>
      <x:c r="G18" s="62"/>
      <x:c r="H18" s="62"/>
    </x:row>
    <x:row r="19" ht="23" customHeight="1">
      <x:c r="A19" s="63"/>
      <x:c r="B19" s="64"/>
      <x:c r="C19" s="64"/>
      <x:c r="D19" s="64"/>
      <x:c r="E19" s="64"/>
      <x:c r="F19" s="64"/>
      <x:c r="G19" s="64"/>
      <x:c r="H19" s="65"/>
    </x:row>
    <x:row r="20">
      <x:c r="A20" s="114"/>
      <x:c r="B20" s="115"/>
      <x:c r="C20" s="115"/>
      <x:c r="D20" s="115"/>
      <x:c r="E20" s="115"/>
      <x:c r="F20" s="115"/>
      <x:c r="G20" s="115"/>
      <x:c r="H20" s="116"/>
    </x:row>
    <x:row r="21">
      <x:c r="A21" s="117"/>
      <x:c r="B21" s="118"/>
      <x:c r="C21" s="118"/>
      <x:c r="D21" s="118"/>
      <x:c r="E21" s="118"/>
      <x:c r="F21" s="118"/>
      <x:c r="G21" s="118"/>
      <x:c r="H21" s="119"/>
    </x:row>
    <x:row r="22">
      <x:c r="A22" s="117"/>
      <x:c r="B22" s="118"/>
      <x:c r="C22" s="118"/>
      <x:c r="D22" s="118"/>
      <x:c r="E22" s="118"/>
      <x:c r="F22" s="118"/>
      <x:c r="G22" s="118"/>
      <x:c r="H22" s="119"/>
    </x:row>
    <x:row r="23">
      <x:c r="A23" s="117"/>
      <x:c r="B23" s="118"/>
      <x:c r="C23" s="118"/>
      <x:c r="D23" s="118"/>
      <x:c r="E23" s="118"/>
      <x:c r="F23" s="118"/>
      <x:c r="G23" s="118"/>
      <x:c r="H23" s="119"/>
    </x:row>
    <x:row r="24">
      <x:c r="A24" s="117"/>
      <x:c r="B24" s="118"/>
      <x:c r="C24" s="118"/>
      <x:c r="D24" s="118"/>
      <x:c r="E24" s="118"/>
      <x:c r="F24" s="118"/>
      <x:c r="G24" s="118"/>
      <x:c r="H24" s="119"/>
    </x:row>
    <x:row r="25">
      <x:c r="A25" s="120"/>
      <x:c r="B25" s="121"/>
      <x:c r="C25" s="121"/>
      <x:c r="D25" s="121"/>
      <x:c r="E25" s="121"/>
      <x:c r="F25" s="121"/>
      <x:c r="G25" s="121"/>
      <x:c r="H25" s="122"/>
    </x:row>
    <x:row r="26">
      <x:c r="A26" s="62"/>
      <x:c r="B26" s="62"/>
      <x:c r="C26" s="62"/>
      <x:c r="D26" s="62"/>
      <x:c r="E26" s="62"/>
      <x:c r="F26" s="62"/>
      <x:c r="G26" s="62"/>
      <x:c r="H26" s="62"/>
    </x:row>
    <x:row r="27" ht="23" customHeight="1">
      <x:c r="A27" s="63" t="str">
        <x:v>Key terms</x:v>
      </x:c>
      <x:c r="B27" s="64"/>
      <x:c r="C27" s="64"/>
      <x:c r="D27" s="64"/>
      <x:c r="E27" s="64"/>
      <x:c r="F27" s="64"/>
      <x:c r="G27" s="64"/>
      <x:c r="H27" s="65"/>
    </x:row>
    <x:row r="28" ht="34" customHeight="1">
      <x:c r="A28" s="71" t="str">
        <x:v>Term</x:v>
      </x:c>
      <x:c r="B28" s="71" t="str">
        <x:v>Meaning</x:v>
      </x:c>
      <x:c r="C28" s="62"/>
      <x:c r="D28" s="62"/>
      <x:c r="E28" s="62"/>
      <x:c r="F28" s="62"/>
      <x:c r="G28" s="62"/>
      <x:c r="H28" s="62"/>
    </x:row>
    <x:row r="29" ht="42" customHeight="1">
      <x:c r="A29" s="67" t="str">
        <x:v>Due diligence</x:v>
      </x:c>
      <x:c r="B29" s="67" t="str">
        <x:v>Review performed before or during a vendor relationship to understand security, privacy, resilience, and contractual risk.</x:v>
      </x:c>
      <x:c r="C29" s="62"/>
      <x:c r="D29" s="62"/>
      <x:c r="E29" s="62"/>
      <x:c r="F29" s="62"/>
      <x:c r="G29" s="62"/>
      <x:c r="H29" s="62"/>
    </x:row>
    <x:row r="30" ht="42" customHeight="1">
      <x:c r="A30" s="67" t="str">
        <x:v>Inherent vendor risk</x:v>
      </x:c>
      <x:c r="B30" s="67" t="str">
        <x:v>The exposure created by the service, data, access, and dependency before considering controls.</x:v>
      </x:c>
      <x:c r="C30" s="62"/>
      <x:c r="D30" s="62"/>
      <x:c r="E30" s="62"/>
      <x:c r="F30" s="62"/>
      <x:c r="G30" s="62"/>
      <x:c r="H30" s="62"/>
    </x:row>
    <x:row r="31" ht="42" customHeight="1">
      <x:c r="A31" s="67" t="str">
        <x:v>Residual vendor risk</x:v>
      </x:c>
      <x:c r="B31" s="67" t="str">
        <x:v>The risk remaining after vendor controls, Trainory safeguards, contract terms, and remediation.</x:v>
      </x:c>
      <x:c r="C31" s="62"/>
      <x:c r="D31" s="62"/>
      <x:c r="E31" s="62"/>
      <x:c r="F31" s="62"/>
      <x:c r="G31" s="62"/>
      <x:c r="H31" s="62"/>
    </x:row>
    <x:row r="32" ht="42" customHeight="1">
      <x:c r="A32" s="67" t="str">
        <x:v>Compensating control</x:v>
      </x:c>
      <x:c r="B32" s="67" t="str">
        <x:v>An alternate safeguard used when the preferred control is not available.</x:v>
      </x:c>
      <x:c r="C32" s="62"/>
      <x:c r="D32" s="62"/>
      <x:c r="E32" s="62"/>
      <x:c r="F32" s="62"/>
      <x:c r="G32" s="62"/>
      <x:c r="H32" s="62"/>
    </x:row>
    <x:row r="33" ht="42" customHeight="1">
      <x:c r="A33" s="67" t="str">
        <x:v>Conditional approval</x:v>
      </x:c>
      <x:c r="B33" s="67" t="str">
        <x:v>Permission to proceed only within defined limits and while required conditions are tracked.</x:v>
      </x:c>
      <x:c r="C33" s="62"/>
      <x:c r="D33" s="62"/>
      <x:c r="E33" s="62"/>
      <x:c r="F33" s="62"/>
      <x:c r="G33" s="62"/>
      <x:c r="H33" s="62"/>
    </x:row>
    <x:row r="34" ht="42" customHeight="1">
      <x:c r="A34" s="67" t="str">
        <x:v>Evidence quality</x:v>
      </x:c>
      <x:c r="B34" s="67" t="str">
        <x:v>The strength, relevance, independence, and currency of material used to support a vendor response.</x:v>
      </x:c>
      <x:c r="C34" s="62"/>
      <x:c r="D34" s="62"/>
      <x:c r="E34" s="62"/>
      <x:c r="F34" s="62"/>
      <x:c r="G34" s="62"/>
      <x:c r="H34" s="62"/>
    </x:row>
    <x:row r="35">
      <x:c r="A35" s="62"/>
      <x:c r="B35" s="62"/>
      <x:c r="C35" s="62"/>
      <x:c r="D35" s="62"/>
      <x:c r="E35" s="62"/>
      <x:c r="F35" s="62"/>
      <x:c r="G35" s="62"/>
      <x:c r="H35" s="62"/>
    </x:row>
    <x:row r="36" ht="30" customHeight="1">
      <x:c r="A36" s="82" t="str">
        <x:v>Case study note: Trainory, VitaSync, and all assessment data are fictional.</x:v>
      </x:c>
      <x:c r="B36" s="82"/>
      <x:c r="C36" s="82"/>
      <x:c r="D36" s="82"/>
      <x:c r="E36" s="82"/>
      <x:c r="F36" s="82"/>
      <x:c r="G36" s="82"/>
      <x:c r="H36" s="82"/>
    </x:row>
  </x:sheetData>
  <x:mergeCells>
    <x:mergeCell ref="A4:H4"/>
    <x:mergeCell ref="A5:H9"/>
    <x:mergeCell ref="A11:H11"/>
    <x:mergeCell ref="A19:H19"/>
    <x:mergeCell ref="A20:H25"/>
    <x:mergeCell ref="A27:H27"/>
    <x:mergeCell ref="A36:H36"/>
    <x:mergeCell ref="A1:C1"/>
    <x:mergeCell ref="A2:C2"/>
  </x:mergeCells>
  <x:pageMargins left="0.7" right="0.7" top="0.75" bottom="0.75" header="0.3" footer="0.3"/>
</x:worksheet>
</file>