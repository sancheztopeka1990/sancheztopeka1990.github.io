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e752fc859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F Assessment" sheetId="1" r:id="Rdfda464badf54516"/>
    <x:sheet xmlns:r="http://schemas.openxmlformats.org/officeDocument/2006/relationships" name="Framework Guide" sheetId="2" r:id="R6ded6aa4ca65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54A5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3"/>
      <x:color rgb="FF16324F"/>
      <x:name val="Carlito"/>
    </x:font>
    <x:font>
      <x:b/>
      <x:sz val="12"/>
      <x:color rgb="FF16324F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9"/>
      <x:color rgb="FF16324F"/>
      <x:name val="Carlito"/>
    </x:font>
    <x:font>
      <x:sz val="10"/>
      <x:color rgb="FF1F2937"/>
      <x:name val="Carlito"/>
    </x:font>
    <x:font>
      <x:b/>
      <x:sz val="10"/>
      <x:color rgb="FF16324F"/>
      <x:name val="Carlito"/>
    </x:font>
    <x:font>
      <x:b/>
      <x:sz val="11"/>
      <x:color rgb="FF16324F"/>
      <x:name val="Carlito"/>
    </x:font>
    <x:font>
      <x:i/>
      <x:sz val="10"/>
      <x:color rgb="FF1F2937"/>
      <x:name val="Carlito"/>
    </x:font>
    <x:font>
      <x:b/>
      <x:sz val="16"/>
      <x:color rgb="FFFFFFFF"/>
      <x:name val="Aptos Display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2F6690"/>
      </x:patternFill>
    </x:fill>
    <x:fill>
      <x:patternFill patternType="solid">
        <x:fgColor rgb="FFF7FAFC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</x:fills>
  <x:borders count="15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</x:border>
    <x:border>
      <x:left style="thin">
        <x:color rgb="FF244C6D"/>
      </x:left>
      <x:top style="thin">
        <x:color rgb="FF244C6D"/>
      </x:top>
      <x:bottom style="thin">
        <x:color rgb="FF244C6D"/>
      </x:bottom>
    </x:border>
    <x:border>
      <x:top style="thin">
        <x:color rgb="FF244C6D"/>
      </x:top>
      <x:bottom style="thin">
        <x:color rgb="FF244C6D"/>
      </x:bottom>
    </x:border>
    <x:border>
      <x:right style="thin">
        <x:color rgb="FF244C6D"/>
      </x:right>
      <x:top style="thin">
        <x:color rgb="FF244C6D"/>
      </x:top>
      <x:bottom style="thin">
        <x:color rgb="FF244C6D"/>
      </x:bottom>
    </x:border>
    <x:border>
      <x:left style="thin">
        <x:color rgb="FFB7C8D6"/>
      </x:left>
      <x:top style="thin">
        <x:color rgb="FFB7C8D6"/>
      </x:top>
    </x:border>
    <x:border>
      <x:top style="thin">
        <x:color rgb="FFB7C8D6"/>
      </x:top>
    </x:border>
    <x:border>
      <x:right style="thin">
        <x:color rgb="FFB7C8D6"/>
      </x:right>
      <x:top style="thin">
        <x:color rgb="FFB7C8D6"/>
      </x:top>
    </x:border>
    <x:border>
      <x:left style="thin">
        <x:color rgb="FFB7C8D6"/>
      </x:left>
    </x:border>
    <x:border>
      <x:right style="thin">
        <x:color rgb="FFB7C8D6"/>
      </x:right>
    </x:border>
    <x:border>
      <x:left style="thin">
        <x:color rgb="FFB7C8D6"/>
      </x:left>
      <x:bottom style="thin">
        <x:color rgb="FFB7C8D6"/>
      </x:bottom>
    </x:border>
    <x:border>
      <x:bottom style="thin">
        <x:color rgb="FFB7C8D6"/>
      </x:bottom>
    </x:border>
    <x:border>
      <x:right style="thin">
        <x:color rgb="FFB7C8D6"/>
      </x:right>
      <x:bottom style="thin">
        <x:color rgb="FFB7C8D6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horizontal="center" wrapText="1"/>
    </x:xf>
    <x:xf numFmtId="0" fontId="7" fillId="4" borderId="5" xfId="0" applyNumberFormat="1" applyFont="1" applyFill="1" applyBorder="1" applyAlignment="1">
      <x:alignment horizontal="center" wrapText="1"/>
    </x:xf>
    <x:xf numFmtId="0" fontId="7" fillId="4" borderId="6" xfId="0" applyNumberFormat="1" applyFont="1" applyFill="1" applyBorder="1" applyAlignment="1">
      <x:alignment horizont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4" borderId="6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2" xfId="0" applyNumberFormat="1" applyFont="1" applyFill="1" applyBorder="1"/>
    <x:xf numFmtId="0" fontId="10" fillId="5" borderId="3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2" xfId="0" applyNumberFormat="1" applyFont="1" applyFill="1" applyBorder="1" applyAlignment="1">
      <x:alignment wrapText="1"/>
    </x:xf>
    <x:xf numFmtId="0" fontId="10" fillId="5" borderId="3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wrapText="1"/>
    </x:xf>
    <x:xf numFmtId="0" fontId="11" fillId="5" borderId="2" xfId="0" applyNumberFormat="1" applyFont="1" applyFill="1" applyBorder="1" applyAlignment="1">
      <x:alignment wrapText="1"/>
    </x:xf>
    <x:xf numFmtId="0" fontId="11" fillId="5" borderId="3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7" xfId="0" applyNumberFormat="1" applyFont="1" applyFill="1" applyBorder="1"/>
    <x:xf numFmtId="0" fontId="13" fillId="5" borderId="8" xfId="0" applyNumberFormat="1" applyFont="1" applyFill="1" applyBorder="1"/>
    <x:xf numFmtId="0" fontId="13" fillId="5" borderId="9" xfId="0" applyNumberFormat="1" applyFont="1" applyFill="1" applyBorder="1"/>
    <x:xf numFmtId="0" fontId="13" fillId="5" borderId="10" xfId="0" applyNumberFormat="1" applyFont="1" applyFill="1" applyBorder="1"/>
    <x:xf numFmtId="0" fontId="13" fillId="5" borderId="11" xfId="0" applyNumberFormat="1" applyFont="1" applyFill="1" applyBorder="1"/>
    <x:xf numFmtId="0" fontId="13" fillId="5" borderId="12" xfId="0" applyNumberFormat="1" applyFont="1" applyFill="1" applyBorder="1"/>
    <x:xf numFmtId="0" fontId="13" fillId="5" borderId="13" xfId="0" applyNumberFormat="1" applyFont="1" applyFill="1" applyBorder="1"/>
    <x:xf numFmtId="0" fontId="13" fillId="5" borderId="14" xfId="0" applyNumberFormat="1" applyFont="1" applyFill="1" applyBorder="1"/>
    <x:xf numFmtId="0" fontId="13" fillId="5" borderId="7" xfId="0" applyNumberFormat="1" applyFont="1" applyFill="1" applyBorder="1" applyAlignment="1">
      <x:alignment wrapText="1"/>
    </x:xf>
    <x:xf numFmtId="0" fontId="13" fillId="5" borderId="8" xfId="0" applyNumberFormat="1" applyFont="1" applyFill="1" applyBorder="1" applyAlignment="1">
      <x:alignment wrapText="1"/>
    </x:xf>
    <x:xf numFmtId="0" fontId="13" fillId="5" borderId="9" xfId="0" applyNumberFormat="1" applyFont="1" applyFill="1" applyBorder="1" applyAlignment="1">
      <x:alignment wrapText="1"/>
    </x:xf>
    <x:xf numFmtId="0" fontId="13" fillId="5" borderId="1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13" fillId="5" borderId="11" xfId="0" applyNumberFormat="1" applyFont="1" applyFill="1" applyBorder="1" applyAlignment="1">
      <x:alignment wrapText="1"/>
    </x:xf>
    <x:xf numFmtId="0" fontId="13" fillId="5" borderId="12" xfId="0" applyNumberFormat="1" applyFont="1" applyFill="1" applyBorder="1" applyAlignment="1">
      <x:alignment wrapText="1"/>
    </x:xf>
    <x:xf numFmtId="0" fontId="13" fillId="5" borderId="13" xfId="0" applyNumberFormat="1" applyFont="1" applyFill="1" applyBorder="1" applyAlignment="1">
      <x:alignment wrapText="1"/>
    </x:xf>
    <x:xf numFmtId="0" fontId="13" fillId="5" borderId="14" xfId="0" applyNumberFormat="1" applyFont="1" applyFill="1" applyBorder="1" applyAlignment="1">
      <x:alignment wrapText="1"/>
    </x:xf>
    <x:xf numFmtId="0" fontId="13" fillId="5" borderId="7" xfId="0" applyNumberFormat="1" applyFont="1" applyFill="1" applyBorder="1" applyAlignment="1">
      <x:alignment vertical="center" wrapText="1"/>
    </x:xf>
    <x:xf numFmtId="0" fontId="13" fillId="5" borderId="8" xfId="0" applyNumberFormat="1" applyFont="1" applyFill="1" applyBorder="1" applyAlignment="1">
      <x:alignment vertical="center" wrapText="1"/>
    </x:xf>
    <x:xf numFmtId="0" fontId="13" fillId="5" borderId="9" xfId="0" applyNumberFormat="1" applyFont="1" applyFill="1" applyBorder="1" applyAlignment="1">
      <x:alignment vertical="center" wrapText="1"/>
    </x:xf>
    <x:xf numFmtId="0" fontId="13" fillId="5" borderId="1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11" xfId="0" applyNumberFormat="1" applyFont="1" applyFill="1" applyBorder="1" applyAlignment="1">
      <x:alignment vertical="center" wrapText="1"/>
    </x:xf>
    <x:xf numFmtId="0" fontId="13" fillId="5" borderId="12" xfId="0" applyNumberFormat="1" applyFont="1" applyFill="1" applyBorder="1" applyAlignment="1">
      <x:alignment vertical="center" wrapText="1"/>
    </x:xf>
    <x:xf numFmtId="0" fontId="13" fillId="5" borderId="13" xfId="0" applyNumberFormat="1" applyFont="1" applyFill="1" applyBorder="1" applyAlignment="1">
      <x:alignment vertical="center" wrapText="1"/>
    </x:xf>
    <x:xf numFmtId="0" fontId="13" fillId="5" borderId="14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4" fillId="6" borderId="0" xfId="0" applyNumberFormat="1" applyFont="1" applyFill="1" applyBorder="1"/>
    <x:xf numFmtId="0" fontId="14" fillId="7" borderId="0" xfId="0" applyNumberFormat="1" applyFont="1" applyFill="1" applyBorder="1"/>
    <x:xf numFmtId="0" fontId="14" fillId="8" borderId="0" xfId="0" applyNumberFormat="1" applyFont="1" applyFill="1" applyBorder="1"/>
    <x:xf numFmtId="0" fontId="14" fillId="9" borderId="0" xfId="0" applyNumberFormat="1" applyFont="1" applyFill="1" applyBorder="1"/>
    <x:xf numFmtId="0" fontId="14" fillId="10" borderId="0" xfId="0" applyNumberFormat="1" applyFont="1" applyFill="1" applyBorder="1"/>
    <x:xf numFmtId="0" fontId="14" fillId="11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7A5A00"/>
      </x:font>
      <x:fill>
        <x:patternFill>
          <x:bgColor rgb="FFFFF4D6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7A5A00"/>
      </x:font>
      <x:fill>
        <x:patternFill>
          <x:bgColor rgb="FFFFF4D6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9A4D00"/>
      </x:font>
      <x:fill>
        <x:patternFill>
          <x:bgColor rgb="FFFCE4C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4069c030c48a2" /><Relationship Type="http://schemas.openxmlformats.org/officeDocument/2006/relationships/theme" Target="/xl/theme/theme1.xml" Id="R4a3036defed14e0a" /><Relationship Type="http://schemas.openxmlformats.org/officeDocument/2006/relationships/sharedStrings" Target="/xl/sharedStrings.xml" Id="Rd053fa96bf714c81" /><Relationship Type="http://schemas.openxmlformats.org/officeDocument/2006/relationships/worksheet" Target="/xl/worksheets/sheet1.xml" Id="Rdfda464badf54516" /><Relationship Type="http://schemas.openxmlformats.org/officeDocument/2006/relationships/worksheet" Target="/xl/worksheets/sheet2.xml" Id="R6ded6aa4ca654586" /></Relationships>
</file>

<file path=xl/tables/table1.xml><?xml version="1.0" encoding="utf-8"?>
<x:table xmlns:x="http://schemas.openxmlformats.org/spreadsheetml/2006/main" id="1" name="TrainoryCSFAssessment" displayName="TrainoryCSFAssessment" ref="A12:P34" headerRowCount="1" totalsRowCount="0" totalsRowShown="0">
  <x:autoFilter ref="A12:P34"/>
  <x:tableColumns count="16">
    <x:tableColumn id="1" name="CSF ID"/>
    <x:tableColumn id="2" name="Function"/>
    <x:tableColumn id="3" name="Category"/>
    <x:tableColumn id="4" name="Trainory Expected Outcome"/>
    <x:tableColumn id="5" name="Current Status"/>
    <x:tableColumn id="6" name="Evidence Reviewed / Assumed"/>
    <x:tableColumn id="7" name="Gap Identified"/>
    <x:tableColumn id="8" name="Recommended Action"/>
    <x:tableColumn id="9" name="Control Owner"/>
    <x:tableColumn id="10" name="Priority"/>
    <x:tableColumn id="11" name="Related Risks"/>
    <x:tableColumn id="12" name="Selected SP 800-53 Examples"/>
    <x:tableColumn id="13" name="Target Status"/>
    <x:tableColumn id="14" name="Reviewer Decision"/>
    <x:tableColumn id="15" name="Assessment Notes"/>
    <x:tableColumn id="1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8e37c79bd945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9" hidden="0" customWidth="1"/>
    <x:col min="4" max="4" width="48" hidden="0" customWidth="1"/>
    <x:col min="5" max="5" width="19" hidden="0" customWidth="1"/>
    <x:col min="6" max="6" width="42" hidden="0" customWidth="1"/>
    <x:col min="7" max="7" width="42" hidden="0" customWidth="1"/>
    <x:col min="8" max="8" width="45" hidden="0" customWidth="1"/>
    <x:col min="9" max="9" width="24" hidden="0" customWidth="1"/>
    <x:col min="10" max="10" width="13" hidden="0" customWidth="1"/>
    <x:col min="11" max="11" width="25" hidden="0" customWidth="1"/>
    <x:col min="12" max="12" width="28" hidden="0" customWidth="1"/>
    <x:col min="13" max="13" width="17" hidden="0" customWidth="1"/>
    <x:col min="14" max="14" width="18" hidden="0" customWidth="1"/>
    <x:col min="15" max="15" width="35" hidden="0" customWidth="1"/>
    <x:col min="16" max="16" width="34" hidden="0" customWidth="1"/>
  </x:cols>
  <x:sheetData>
    <x:row r="1" ht="34" customHeight="1">
      <x:c r="A1" s="2" t="str">
        <x:v>Trainory NIST CSF 2.0 Assessment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4" t="str">
        <x:v>Selected NIST CSF 2.0 outcomes based on Trainory's risk and assessment scope</x:v>
      </x:c>
      <x:c r="B2" s="4" t="str">
        <x:v>Selected NIST CSF 2.0 outcomes based on Trainory's risk and assessment scope</x:v>
      </x:c>
      <x:c r="C2" s="4" t="str">
        <x:v>Selected NIST CSF 2.0 outcomes based on Trainory's risk and assessment scope</x:v>
      </x:c>
      <x:c r="D2" s="4" t="str">
        <x:v>Selected NIST CSF 2.0 outcomes based on Trainory's risk and assessment scope</x:v>
      </x:c>
      <x:c r="E2" s="4" t="str">
        <x:v>Selected NIST CSF 2.0 outcomes based on Trainory's risk and assessment scope</x:v>
      </x:c>
      <x:c r="F2" s="4" t="str">
        <x:v>Selected NIST CSF 2.0 outcomes based on Trainory's risk and assessment scope</x:v>
      </x:c>
      <x:c r="G2" s="4" t="str">
        <x:v>Selected NIST CSF 2.0 outcomes based on Trainory's risk and assessment scope</x:v>
      </x:c>
      <x:c r="H2" s="4" t="str">
        <x:v>Selected NIST CSF 2.0 outcomes based on Trainory's risk and assessment scope</x:v>
      </x:c>
      <x:c r="I2" s="4" t="str">
        <x:v>Selected NIST CSF 2.0 outcomes based on Trainory's risk and assessment scope</x:v>
      </x:c>
      <x:c r="J2" s="4" t="str">
        <x:v>Selected NIST CSF 2.0 outcomes based on Trainory's risk and assessment scope</x:v>
      </x:c>
      <x:c r="K2" s="4" t="str">
        <x:v>Selected NIST CSF 2.0 outcomes based on Trainory's risk and assessment scope</x:v>
      </x:c>
      <x:c r="L2" s="4" t="str">
        <x:v>Selected NIST CSF 2.0 outcomes based on Trainory's risk and assessment scope</x:v>
      </x:c>
      <x:c r="M2" s="4" t="str">
        <x:v>Selected NIST CSF 2.0 outcomes based on Trainory's risk and assessment scope</x:v>
      </x:c>
      <x:c r="N2" s="4" t="str">
        <x:v>Selected NIST CSF 2.0 outcomes based on Trainory's risk and assessment scope</x:v>
      </x:c>
      <x:c r="O2" s="4" t="str">
        <x:v>Selected NIST CSF 2.0 outcomes based on Trainory's risk and assessment scope</x:v>
      </x:c>
      <x:c r="P2" s="4" t="str">
        <x:v>Selected NIST CSF 2.0 outcomes based on Trainory's risk and assessment scope</x:v>
      </x:c>
    </x:row>
    <x:row r="4">
      <x:c r="A4" s="6" t="str">
        <x:v>Assessment Summary</x:v>
      </x:c>
      <x:c r="B4" s="6" t="str">
        <x:v>Value</x:v>
      </x:c>
      <x:c r="D4" s="18" t="str">
        <x:v>Govern</x:v>
      </x:c>
      <x:c r="E4" s="18" t="str">
        <x:v>Identify</x:v>
      </x:c>
      <x:c r="F4" s="18" t="str">
        <x:v>Protect</x:v>
      </x:c>
      <x:c r="G4" s="18" t="str">
        <x:v>Detect</x:v>
      </x:c>
      <x:c r="H4" s="18" t="str">
        <x:v>Respond</x:v>
      </x:c>
      <x:c r="I4" s="18" t="str">
        <x:v>Recover</x:v>
      </x:c>
    </x:row>
    <x:row r="5">
      <x:c r="A5" s="9" t="str">
        <x:v>Outcomes assessed</x:v>
      </x:c>
      <x:c r="B5" s="15" t="n">
        <x:f>COUNTA(A13:A112)</x:f>
        <x:v>22</x:v>
      </x:c>
      <x:c r="D5" s="20" t="n">
        <x:f>COUNTIF(B13:B112,D4)</x:f>
        <x:v>5</x:v>
      </x:c>
      <x:c r="E5" s="20" t="n">
        <x:f>COUNTIF(B13:B112,E4)</x:f>
        <x:v>7</x:v>
      </x:c>
      <x:c r="F5" s="20" t="n">
        <x:f>COUNTIF(B13:B112,F4)</x:f>
        <x:v>7</x:v>
      </x:c>
      <x:c r="G5" s="20" t="n">
        <x:f>COUNTIF(B13:B112,G4)</x:f>
        <x:v>1</x:v>
      </x:c>
      <x:c r="H5" s="20" t="n">
        <x:f>COUNTIF(B13:B112,H4)</x:f>
        <x:v>1</x:v>
      </x:c>
      <x:c r="I5" s="20" t="n">
        <x:f>COUNTIF(B13:B112,I4)</x:f>
        <x:v>1</x:v>
      </x:c>
    </x:row>
    <x:row r="6">
      <x:c r="A6" s="10" t="str">
        <x:v>Implemented</x:v>
      </x:c>
      <x:c r="B6" s="16" t="n">
        <x:f>COUNTIF(E13:E112,"Implemented")</x:f>
        <x:v>3</x:v>
      </x:c>
    </x:row>
    <x:row r="7">
      <x:c r="A7" s="10" t="str">
        <x:v>Partially implemented</x:v>
      </x:c>
      <x:c r="B7" s="16" t="n">
        <x:f>COUNTIF(E13:E112,"Partial")</x:f>
        <x:v>16</x:v>
      </x:c>
    </x:row>
    <x:row r="8">
      <x:c r="A8" s="11" t="str">
        <x:v>Not implemented</x:v>
      </x:c>
      <x:c r="B8" s="17" t="n">
        <x:f>COUNTIF(E13:E112,"Not Implemented")</x:f>
        <x:v>3</x:v>
      </x:c>
    </x:row>
    <x:row r="12" ht="42" customHeight="1">
      <x:c r="A12" s="31" t="str">
        <x:v>CSF ID</x:v>
      </x:c>
      <x:c r="B12" s="32" t="str">
        <x:v>Function</x:v>
      </x:c>
      <x:c r="C12" s="32" t="str">
        <x:v>Category</x:v>
      </x:c>
      <x:c r="D12" s="32" t="str">
        <x:v>Trainory Expected Outcome</x:v>
      </x:c>
      <x:c r="E12" s="32" t="str">
        <x:v>Current Status</x:v>
      </x:c>
      <x:c r="F12" s="32" t="str">
        <x:v>Evidence Reviewed / Assumed</x:v>
      </x:c>
      <x:c r="G12" s="32" t="str">
        <x:v>Gap Identified</x:v>
      </x:c>
      <x:c r="H12" s="32" t="str">
        <x:v>Recommended Action</x:v>
      </x:c>
      <x:c r="I12" s="32" t="str">
        <x:v>Control Owner</x:v>
      </x:c>
      <x:c r="J12" s="32" t="str">
        <x:v>Priority</x:v>
      </x:c>
      <x:c r="K12" s="32" t="str">
        <x:v>Related Risks</x:v>
      </x:c>
      <x:c r="L12" s="32" t="str">
        <x:v>Selected SP 800-53 Examples</x:v>
      </x:c>
      <x:c r="M12" s="32" t="str">
        <x:v>Target Status</x:v>
      </x:c>
      <x:c r="N12" s="32" t="str">
        <x:v>Reviewer Decision</x:v>
      </x:c>
      <x:c r="O12" s="32" t="str">
        <x:v>Assessment Notes</x:v>
      </x:c>
      <x:c r="P12" s="33" t="str">
        <x:v>Source</x:v>
      </x:c>
    </x:row>
    <x:row r="13" ht="21.600000381469727" hidden="0" customHeight="1">
      <x:c r="A13" s="44" t="str">
        <x:v>GV.OC-03</x:v>
      </x:c>
      <x:c r="B13" s="47" t="str">
        <x:v>Govern</x:v>
      </x:c>
      <x:c r="C13" s="47" t="str">
        <x:v>Organizational Context</x:v>
      </x:c>
      <x:c r="D13" s="41" t="str">
        <x:v>Identify and manage applicable cybersecurity, privacy, legal, and customer-contract requirements.</x:v>
      </x:c>
      <x:c r="E13" s="47" t="str">
        <x:v>Partial</x:v>
      </x:c>
      <x:c r="F13" s="41" t="str">
        <x:v>Privacy notice; customer contract template</x:v>
      </x:c>
      <x:c r="G13" s="41" t="str">
        <x:v>No maintained requirements register or assigned review schedule.</x:v>
      </x:c>
      <x:c r="H13" s="41" t="str">
        <x:v>Create a requirements register and review it at least annually.</x:v>
      </x:c>
      <x:c r="I13" s="47" t="str">
        <x:v>Legal / Compliance</x:v>
      </x:c>
      <x:c r="J13" s="47" t="str">
        <x:v>High</x:v>
      </x:c>
      <x:c r="K13" s="47" t="str">
        <x:v>TRN-R009; TRN-R013</x:v>
      </x:c>
      <x:c r="L13" s="47" t="str">
        <x:v>PM-1; PM-9</x:v>
      </x:c>
      <x:c r="M13" s="47" t="str">
        <x:v>Implemented</x:v>
      </x:c>
      <x:c r="N13" s="47" t="str">
        <x:v>Pending review</x:v>
      </x:c>
      <x:c r="O13" s="41"/>
      <x:c r="P13" s="41" t="str">
        <x:v>https://www.nist.gov/cyberframework</x:v>
      </x:c>
    </x:row>
    <x:row r="14" ht="15" hidden="0" customHeight="1">
      <x:c r="A14" s="45" t="str">
        <x:v>GV.RM-01</x:v>
      </x:c>
      <x:c r="B14" s="48" t="str">
        <x:v>Govern</x:v>
      </x:c>
      <x:c r="C14" s="48" t="str">
        <x:v>Risk Management Strategy</x:v>
      </x:c>
      <x:c r="D14" s="42" t="str">
        <x:v>Define cybersecurity risk objectives that support Trainory's business mission.</x:v>
      </x:c>
      <x:c r="E14" s="48" t="str">
        <x:v>Partial</x:v>
      </x:c>
      <x:c r="F14" s="42" t="str">
        <x:v>Initial risk register; management authorization</x:v>
      </x:c>
      <x:c r="G14" s="42" t="str">
        <x:v>Risk appetite and measurable objectives are not formally approved.</x:v>
      </x:c>
      <x:c r="H14" s="42" t="str">
        <x:v>Document risk appetite, risk tolerances, and GRC objectives.</x:v>
      </x:c>
      <x:c r="I14" s="48" t="str">
        <x:v>Executive Leadership</x:v>
      </x:c>
      <x:c r="J14" s="48" t="str">
        <x:v>High</x:v>
      </x:c>
      <x:c r="K14" s="48" t="str">
        <x:v>All risks</x:v>
      </x:c>
      <x:c r="L14" s="48" t="str">
        <x:v>PM-9</x:v>
      </x:c>
      <x:c r="M14" s="48" t="str">
        <x:v>Implemented</x:v>
      </x:c>
      <x:c r="N14" s="48" t="str">
        <x:v>Pending review</x:v>
      </x:c>
      <x:c r="O14" s="42"/>
      <x:c r="P14" s="42" t="str">
        <x:v>https://www.nist.gov/cyberframework</x:v>
      </x:c>
    </x:row>
    <x:row r="15" ht="15" hidden="0" customHeight="1">
      <x:c r="A15" s="45" t="str">
        <x:v>GV.RR-02</x:v>
      </x:c>
      <x:c r="B15" s="48" t="str">
        <x:v>Govern</x:v>
      </x:c>
      <x:c r="C15" s="48" t="str">
        <x:v>Roles, Responsibilities, and Authorities</x:v>
      </x:c>
      <x:c r="D15" s="42" t="str">
        <x:v>Establish and communicate cybersecurity roles, responsibilities, and authority.</x:v>
      </x:c>
      <x:c r="E15" s="48" t="str">
        <x:v>Partial</x:v>
      </x:c>
      <x:c r="F15" s="42" t="str">
        <x:v>Department ownership identified in project documents</x:v>
      </x:c>
      <x:c r="G15" s="42" t="str">
        <x:v>Formal responsibilities and escalation authority are incomplete.</x:v>
      </x:c>
      <x:c r="H15" s="42" t="str">
        <x:v>Create a responsibility matrix and formally assign control owners.</x:v>
      </x:c>
      <x:c r="I15" s="48" t="str">
        <x:v>Executive Leadership</x:v>
      </x:c>
      <x:c r="J15" s="48" t="str">
        <x:v>High</x:v>
      </x:c>
      <x:c r="K15" s="48" t="str">
        <x:v>All risks</x:v>
      </x:c>
      <x:c r="L15" s="48" t="str">
        <x:v>PM-2; PS-7</x:v>
      </x:c>
      <x:c r="M15" s="48" t="str">
        <x:v>Implemented</x:v>
      </x:c>
      <x:c r="N15" s="48" t="str">
        <x:v>Pending review</x:v>
      </x:c>
      <x:c r="O15" s="42"/>
      <x:c r="P15" s="42" t="str">
        <x:v>https://www.nist.gov/cyberframework</x:v>
      </x:c>
    </x:row>
    <x:row r="16" ht="21.600000381469727" hidden="0" customHeight="1">
      <x:c r="A16" s="45" t="str">
        <x:v>GV.PO-01</x:v>
      </x:c>
      <x:c r="B16" s="48" t="str">
        <x:v>Govern</x:v>
      </x:c>
      <x:c r="C16" s="48" t="str">
        <x:v>Policy</x:v>
      </x:c>
      <x:c r="D16" s="42" t="str">
        <x:v>Establish, communicate, and enforce cybersecurity policies appropriate to Trainory.</x:v>
      </x:c>
      <x:c r="E16" s="48" t="str">
        <x:v>Not Implemented</x:v>
      </x:c>
      <x:c r="F16" s="42" t="str">
        <x:v>Informal technology practices</x:v>
      </x:c>
      <x:c r="G16" s="42" t="str">
        <x:v>Trainory lacks an approved cybersecurity policy set.</x:v>
      </x:c>
      <x:c r="H16" s="42" t="str">
        <x:v>Create and approve core access, incident, acceptable-use, vendor, and data policies.</x:v>
      </x:c>
      <x:c r="I16" s="48" t="str">
        <x:v>Cybersecurity / Compliance</x:v>
      </x:c>
      <x:c r="J16" s="48" t="str">
        <x:v>High</x:v>
      </x:c>
      <x:c r="K16" s="48" t="str">
        <x:v>TRN-R001; TRN-R003; TRN-R005; TRN-R013</x:v>
      </x:c>
      <x:c r="L16" s="48" t="str">
        <x:v>PM-1</x:v>
      </x:c>
      <x:c r="M16" s="48" t="str">
        <x:v>Implemented</x:v>
      </x:c>
      <x:c r="N16" s="48" t="str">
        <x:v>Pending review</x:v>
      </x:c>
      <x:c r="O16" s="42"/>
      <x:c r="P16" s="42" t="str">
        <x:v>https://www.nist.gov/cyberframework</x:v>
      </x:c>
    </x:row>
    <x:row r="17" ht="21.600000381469727" hidden="0" customHeight="1">
      <x:c r="A17" s="45" t="str">
        <x:v>GV.SC-05</x:v>
      </x:c>
      <x:c r="B17" s="48" t="str">
        <x:v>Govern</x:v>
      </x:c>
      <x:c r="C17" s="48" t="str">
        <x:v>Cybersecurity Supply Chain Risk Management</x:v>
      </x:c>
      <x:c r="D17" s="42" t="str">
        <x:v>Include appropriate security requirements in relationships with important vendors.</x:v>
      </x:c>
      <x:c r="E17" s="48" t="str">
        <x:v>Partial</x:v>
      </x:c>
      <x:c r="F17" s="42" t="str">
        <x:v>Vendor contracts and service agreements</x:v>
      </x:c>
      <x:c r="G17" s="42" t="str">
        <x:v>Vendor risk tiering, reviews, and contract requirements are inconsistent.</x:v>
      </x:c>
      <x:c r="H17" s="42" t="str">
        <x:v>Create vendor tiers, a security questionnaire, review criteria, and contract clauses.</x:v>
      </x:c>
      <x:c r="I17" s="48" t="str">
        <x:v>Legal / Compliance</x:v>
      </x:c>
      <x:c r="J17" s="48" t="str">
        <x:v>High</x:v>
      </x:c>
      <x:c r="K17" s="48" t="str">
        <x:v>TRN-R004; TRN-R009; TRN-R015</x:v>
      </x:c>
      <x:c r="L17" s="48" t="str">
        <x:v>SR-3; SR-5</x:v>
      </x:c>
      <x:c r="M17" s="48" t="str">
        <x:v>Implemented</x:v>
      </x:c>
      <x:c r="N17" s="48" t="str">
        <x:v>Pending review</x:v>
      </x:c>
      <x:c r="O17" s="42"/>
      <x:c r="P17" s="42" t="str">
        <x:v>https://www.nist.gov/cyberframework</x:v>
      </x:c>
    </x:row>
    <x:row r="18" ht="15" hidden="0" customHeight="1">
      <x:c r="A18" s="45" t="str">
        <x:v>ID.AM-01</x:v>
      </x:c>
      <x:c r="B18" s="48" t="str">
        <x:v>Identify</x:v>
      </x:c>
      <x:c r="C18" s="48" t="str">
        <x:v>Asset Management</x:v>
      </x:c>
      <x:c r="D18" s="42" t="str">
        <x:v>Maintain an inventory of company hardware.</x:v>
      </x:c>
      <x:c r="E18" s="48" t="str">
        <x:v>Partial</x:v>
      </x:c>
      <x:c r="F18" s="42" t="str">
        <x:v>Company-issued laptop list</x:v>
      </x:c>
      <x:c r="G18" s="42" t="str">
        <x:v>Ownership and lifecycle details are incomplete.</x:v>
      </x:c>
      <x:c r="H18" s="42" t="str">
        <x:v>Centralize endpoint inventory and reconcile it quarterly.</x:v>
      </x:c>
      <x:c r="I18" s="48" t="str">
        <x:v>IT Support</x:v>
      </x:c>
      <x:c r="J18" s="48" t="str">
        <x:v>Medium</x:v>
      </x:c>
      <x:c r="K18" s="48" t="str">
        <x:v>TRN-R005; TRN-R014</x:v>
      </x:c>
      <x:c r="L18" s="48" t="str">
        <x:v>CM-8</x:v>
      </x:c>
      <x:c r="M18" s="48" t="str">
        <x:v>Implemented</x:v>
      </x:c>
      <x:c r="N18" s="48" t="str">
        <x:v>Pending review</x:v>
      </x:c>
      <x:c r="O18" s="42"/>
      <x:c r="P18" s="42" t="str">
        <x:v>https://www.nist.gov/cyberframework</x:v>
      </x:c>
    </x:row>
    <x:row r="19" ht="15" hidden="0" customHeight="1">
      <x:c r="A19" s="45" t="str">
        <x:v>ID.AM-02</x:v>
      </x:c>
      <x:c r="B19" s="48" t="str">
        <x:v>Identify</x:v>
      </x:c>
      <x:c r="C19" s="48" t="str">
        <x:v>Asset Management</x:v>
      </x:c>
      <x:c r="D19" s="42" t="str">
        <x:v>Maintain an inventory of software, services, systems, and cloud resources.</x:v>
      </x:c>
      <x:c r="E19" s="48" t="str">
        <x:v>Partial</x:v>
      </x:c>
      <x:c r="F19" s="42" t="str">
        <x:v>Trainory asset inventory; AWS account list</x:v>
      </x:c>
      <x:c r="G19" s="42" t="str">
        <x:v>The inventory is new and has not been validated by all owners.</x:v>
      </x:c>
      <x:c r="H19" s="42" t="str">
        <x:v>Validate assets with owners and establish quarterly updates.</x:v>
      </x:c>
      <x:c r="I19" s="48" t="str">
        <x:v>IT / Cloud Engineering</x:v>
      </x:c>
      <x:c r="J19" s="48" t="str">
        <x:v>High</x:v>
      </x:c>
      <x:c r="K19" s="48" t="str">
        <x:v>TRN-R002; TRN-R006; TRN-R012</x:v>
      </x:c>
      <x:c r="L19" s="48" t="str">
        <x:v>CM-8</x:v>
      </x:c>
      <x:c r="M19" s="48" t="str">
        <x:v>Implemented</x:v>
      </x:c>
      <x:c r="N19" s="48" t="str">
        <x:v>Pending review</x:v>
      </x:c>
      <x:c r="O19" s="42"/>
      <x:c r="P19" s="42" t="str">
        <x:v>https://www.nist.gov/cyberframework</x:v>
      </x:c>
    </x:row>
    <x:row r="20" ht="21.600000381469727" hidden="0" customHeight="1">
      <x:c r="A20" s="45" t="str">
        <x:v>ID.AM-05</x:v>
      </x:c>
      <x:c r="B20" s="48" t="str">
        <x:v>Identify</x:v>
      </x:c>
      <x:c r="C20" s="48" t="str">
        <x:v>Asset Management</x:v>
      </x:c>
      <x:c r="D20" s="42" t="str">
        <x:v>Prioritize assets based on sensitivity, criticality, and business impact.</x:v>
      </x:c>
      <x:c r="E20" s="48" t="str">
        <x:v>Implemented</x:v>
      </x:c>
      <x:c r="F20" s="42" t="str">
        <x:v>Asset inventory includes classification, CIA needs, and criticality</x:v>
      </x:c>
      <x:c r="G20" s="42" t="str">
        <x:v>Ratings are based on fictional assumptions and require owner approval.</x:v>
      </x:c>
      <x:c r="H20" s="42" t="str">
        <x:v>Review classifications and criticality with business and technical owners.</x:v>
      </x:c>
      <x:c r="I20" s="48" t="str">
        <x:v>Cybersecurity / Compliance</x:v>
      </x:c>
      <x:c r="J20" s="48" t="str">
        <x:v>Medium</x:v>
      </x:c>
      <x:c r="K20" s="48" t="str">
        <x:v>All risks</x:v>
      </x:c>
      <x:c r="L20" s="48" t="str">
        <x:v>RA-2; PM-5</x:v>
      </x:c>
      <x:c r="M20" s="48" t="str">
        <x:v>Implemented</x:v>
      </x:c>
      <x:c r="N20" s="48" t="str">
        <x:v>Pending review</x:v>
      </x:c>
      <x:c r="O20" s="42"/>
      <x:c r="P20" s="42" t="str">
        <x:v>https://www.nist.gov/cyberframework</x:v>
      </x:c>
    </x:row>
    <x:row r="21" ht="21.600000381469727" hidden="0" customHeight="1">
      <x:c r="A21" s="45" t="str">
        <x:v>ID.RA-01</x:v>
      </x:c>
      <x:c r="B21" s="48" t="str">
        <x:v>Identify</x:v>
      </x:c>
      <x:c r="C21" s="48" t="str">
        <x:v>Risk Assessment</x:v>
      </x:c>
      <x:c r="D21" s="42" t="str">
        <x:v>Identify, record, validate, and manage system vulnerabilities.</x:v>
      </x:c>
      <x:c r="E21" s="48" t="str">
        <x:v>Partial</x:v>
      </x:c>
      <x:c r="F21" s="42" t="str">
        <x:v>Developer reviews; occasional dependency updates</x:v>
      </x:c>
      <x:c r="G21" s="42" t="str">
        <x:v>Scanning and remediation timelines are not standardized.</x:v>
      </x:c>
      <x:c r="H21" s="42" t="str">
        <x:v>Implement recurring vulnerability scans and severity-based remediation SLAs.</x:v>
      </x:c>
      <x:c r="I21" s="48" t="str">
        <x:v>Software Development</x:v>
      </x:c>
      <x:c r="J21" s="48" t="str">
        <x:v>Critical</x:v>
      </x:c>
      <x:c r="K21" s="48" t="str">
        <x:v>TRN-R002; TRN-R006; TRN-R007</x:v>
      </x:c>
      <x:c r="L21" s="48" t="str">
        <x:v>RA-5; SI-2</x:v>
      </x:c>
      <x:c r="M21" s="48" t="str">
        <x:v>Implemented</x:v>
      </x:c>
      <x:c r="N21" s="48" t="str">
        <x:v>Pending review</x:v>
      </x:c>
      <x:c r="O21" s="42"/>
      <x:c r="P21" s="42" t="str">
        <x:v>https://www.nist.gov/cyberframework</x:v>
      </x:c>
    </x:row>
    <x:row r="22" ht="15" hidden="0" customHeight="1">
      <x:c r="A22" s="45" t="str">
        <x:v>ID.RA-03</x:v>
      </x:c>
      <x:c r="B22" s="48" t="str">
        <x:v>Identify</x:v>
      </x:c>
      <x:c r="C22" s="48" t="str">
        <x:v>Risk Assessment</x:v>
      </x:c>
      <x:c r="D22" s="42" t="str">
        <x:v>Identify and record credible internal and external threats.</x:v>
      </x:c>
      <x:c r="E22" s="48" t="str">
        <x:v>Implemented</x:v>
      </x:c>
      <x:c r="F22" s="42" t="str">
        <x:v>Initial Trainory cybersecurity risk register</x:v>
      </x:c>
      <x:c r="G22" s="42" t="str">
        <x:v>Threat review is not yet recurring or tied to external intelligence.</x:v>
      </x:c>
      <x:c r="H22" s="42" t="str">
        <x:v>Review threat scenarios quarterly and after major technology changes.</x:v>
      </x:c>
      <x:c r="I22" s="48" t="str">
        <x:v>Cybersecurity / Compliance</x:v>
      </x:c>
      <x:c r="J22" s="48" t="str">
        <x:v>Medium</x:v>
      </x:c>
      <x:c r="K22" s="48" t="str">
        <x:v>All risks</x:v>
      </x:c>
      <x:c r="L22" s="48" t="str">
        <x:v>RA-3</x:v>
      </x:c>
      <x:c r="M22" s="48" t="str">
        <x:v>Implemented</x:v>
      </x:c>
      <x:c r="N22" s="48" t="str">
        <x:v>Pending review</x:v>
      </x:c>
      <x:c r="O22" s="42"/>
      <x:c r="P22" s="42" t="str">
        <x:v>https://www.nist.gov/cyberframework</x:v>
      </x:c>
    </x:row>
    <x:row r="23" ht="15" hidden="0" customHeight="1">
      <x:c r="A23" s="45" t="str">
        <x:v>ID.RA-05</x:v>
      </x:c>
      <x:c r="B23" s="48" t="str">
        <x:v>Identify</x:v>
      </x:c>
      <x:c r="C23" s="48" t="str">
        <x:v>Risk Assessment</x:v>
      </x:c>
      <x:c r="D23" s="42" t="str">
        <x:v>Estimate likelihood and impact to understand cybersecurity risk.</x:v>
      </x:c>
      <x:c r="E23" s="48" t="str">
        <x:v>Implemented</x:v>
      </x:c>
      <x:c r="F23" s="42" t="str">
        <x:v>Documented 5 x 5 scoring method and risk register</x:v>
      </x:c>
      <x:c r="G23" s="42" t="str">
        <x:v>Scoring has not yet been challenged or approved by management.</x:v>
      </x:c>
      <x:c r="H23" s="42" t="str">
        <x:v>Conduct owner review and record scoring decisions.</x:v>
      </x:c>
      <x:c r="I23" s="48" t="str">
        <x:v>Cybersecurity / Compliance</x:v>
      </x:c>
      <x:c r="J23" s="48" t="str">
        <x:v>Medium</x:v>
      </x:c>
      <x:c r="K23" s="48" t="str">
        <x:v>All risks</x:v>
      </x:c>
      <x:c r="L23" s="48" t="str">
        <x:v>RA-3</x:v>
      </x:c>
      <x:c r="M23" s="48" t="str">
        <x:v>Implemented</x:v>
      </x:c>
      <x:c r="N23" s="48" t="str">
        <x:v>Pending review</x:v>
      </x:c>
      <x:c r="O23" s="42"/>
      <x:c r="P23" s="42" t="str">
        <x:v>https://www.nist.gov/cyberframework</x:v>
      </x:c>
    </x:row>
    <x:row r="24" ht="15" hidden="0" customHeight="1">
      <x:c r="A24" s="45" t="str">
        <x:v>ID.RA-06</x:v>
      </x:c>
      <x:c r="B24" s="48" t="str">
        <x:v>Identify</x:v>
      </x:c>
      <x:c r="C24" s="48" t="str">
        <x:v>Risk Assessment</x:v>
      </x:c>
      <x:c r="D24" s="42" t="str">
        <x:v>Choose, prioritize, track, and communicate risk responses.</x:v>
      </x:c>
      <x:c r="E24" s="48" t="str">
        <x:v>Partial</x:v>
      </x:c>
      <x:c r="F24" s="42" t="str">
        <x:v>Treatments, owners, actions, and dates in risk register</x:v>
      </x:c>
      <x:c r="G24" s="42" t="str">
        <x:v>Management acceptance and escalation rules are not documented.</x:v>
      </x:c>
      <x:c r="H24" s="42" t="str">
        <x:v>Define approval thresholds and monthly remediation reporting.</x:v>
      </x:c>
      <x:c r="I24" s="48" t="str">
        <x:v>Cybersecurity / Compliance</x:v>
      </x:c>
      <x:c r="J24" s="48" t="str">
        <x:v>High</x:v>
      </x:c>
      <x:c r="K24" s="48" t="str">
        <x:v>All risks</x:v>
      </x:c>
      <x:c r="L24" s="48" t="str">
        <x:v>PM-4; RA-7</x:v>
      </x:c>
      <x:c r="M24" s="48" t="str">
        <x:v>Implemented</x:v>
      </x:c>
      <x:c r="N24" s="48" t="str">
        <x:v>Pending review</x:v>
      </x:c>
      <x:c r="O24" s="42"/>
      <x:c r="P24" s="42" t="str">
        <x:v>https://www.nist.gov/cyberframework</x:v>
      </x:c>
    </x:row>
    <x:row r="25" ht="21.600000381469727" hidden="0" customHeight="1">
      <x:c r="A25" s="45" t="str">
        <x:v>PR.AA-01</x:v>
      </x:c>
      <x:c r="B25" s="48" t="str">
        <x:v>Protect</x:v>
      </x:c>
      <x:c r="C25" s="48" t="str">
        <x:v>Identity Management, Authentication, and Access Control</x:v>
      </x:c>
      <x:c r="D25" s="42" t="str">
        <x:v>Manage identities and credentials for authorized users and services.</x:v>
      </x:c>
      <x:c r="E25" s="48" t="str">
        <x:v>Partial</x:v>
      </x:c>
      <x:c r="F25" s="42" t="str">
        <x:v>Employee MFA; role-based access in major systems</x:v>
      </x:c>
      <x:c r="G25" s="42" t="str">
        <x:v>Customer MFA and centralized identity lifecycle controls are incomplete.</x:v>
      </x:c>
      <x:c r="H25" s="42" t="str">
        <x:v>Expand MFA, centralize account records, and document credential lifecycle rules.</x:v>
      </x:c>
      <x:c r="I25" s="48" t="str">
        <x:v>Cybersecurity / IT</x:v>
      </x:c>
      <x:c r="J25" s="48" t="str">
        <x:v>Critical</x:v>
      </x:c>
      <x:c r="K25" s="48" t="str">
        <x:v>TRN-R001; TRN-R003; TRN-R014</x:v>
      </x:c>
      <x:c r="L25" s="48" t="str">
        <x:v>IA-2; IA-4; IA-5</x:v>
      </x:c>
      <x:c r="M25" s="48" t="str">
        <x:v>Implemented</x:v>
      </x:c>
      <x:c r="N25" s="48" t="str">
        <x:v>Pending review</x:v>
      </x:c>
      <x:c r="O25" s="42"/>
      <x:c r="P25" s="42" t="str">
        <x:v>https://www.nist.gov/cyberframework</x:v>
      </x:c>
    </x:row>
    <x:row r="26" ht="21.600000381469727" hidden="0" customHeight="1">
      <x:c r="A26" s="45" t="str">
        <x:v>PR.AA-05</x:v>
      </x:c>
      <x:c r="B26" s="48" t="str">
        <x:v>Protect</x:v>
      </x:c>
      <x:c r="C26" s="48" t="str">
        <x:v>Identity Management, Authentication, and Access Control</x:v>
      </x:c>
      <x:c r="D26" s="42" t="str">
        <x:v>Manage permissions using least privilege, separation of duties, and recurring review.</x:v>
      </x:c>
      <x:c r="E26" s="48" t="str">
        <x:v>Partial</x:v>
      </x:c>
      <x:c r="F26" s="42" t="str">
        <x:v>Restricted administrative access; basic roles</x:v>
      </x:c>
      <x:c r="G26" s="42" t="str">
        <x:v>Quarterly reviews and formal privileged-access approval are missing.</x:v>
      </x:c>
      <x:c r="H26" s="42" t="str">
        <x:v>Implement access reviews, privileged-role approval, and evidence retention.</x:v>
      </x:c>
      <x:c r="I26" s="48" t="str">
        <x:v>Cybersecurity / IT</x:v>
      </x:c>
      <x:c r="J26" s="48" t="str">
        <x:v>Critical</x:v>
      </x:c>
      <x:c r="K26" s="48" t="str">
        <x:v>TRN-R003; TRN-R008; TRN-R014</x:v>
      </x:c>
      <x:c r="L26" s="48" t="str">
        <x:v>AC-2; AC-3; AC-5; AC-6</x:v>
      </x:c>
      <x:c r="M26" s="48" t="str">
        <x:v>Implemented</x:v>
      </x:c>
      <x:c r="N26" s="48" t="str">
        <x:v>Pending review</x:v>
      </x:c>
      <x:c r="O26" s="42"/>
      <x:c r="P26" s="42" t="str">
        <x:v>https://www.nist.gov/cyberframework</x:v>
      </x:c>
    </x:row>
    <x:row r="27" ht="21.600000381469727" hidden="0" customHeight="1">
      <x:c r="A27" s="45" t="str">
        <x:v>PR.DS-01</x:v>
      </x:c>
      <x:c r="B27" s="48" t="str">
        <x:v>Protect</x:v>
      </x:c>
      <x:c r="C27" s="48" t="str">
        <x:v>Data Security</x:v>
      </x:c>
      <x:c r="D27" s="42" t="str">
        <x:v>Protect sensitive data stored by Trainory and its providers.</x:v>
      </x:c>
      <x:c r="E27" s="48" t="str">
        <x:v>Partial</x:v>
      </x:c>
      <x:c r="F27" s="42" t="str">
        <x:v>Cloud encryption available; restricted systems</x:v>
      </x:c>
      <x:c r="G27" s="42" t="str">
        <x:v>Encryption coverage and key-management settings are not fully evidenced.</x:v>
      </x:c>
      <x:c r="H27" s="42" t="str">
        <x:v>Verify encryption coverage, ownership, key rotation, and exception handling.</x:v>
      </x:c>
      <x:c r="I27" s="48" t="str">
        <x:v>IT / Cloud Engineering</x:v>
      </x:c>
      <x:c r="J27" s="48" t="str">
        <x:v>Critical</x:v>
      </x:c>
      <x:c r="K27" s="48" t="str">
        <x:v>TRN-R001; TRN-R002; TRN-R013</x:v>
      </x:c>
      <x:c r="L27" s="48" t="str">
        <x:v>SC-28</x:v>
      </x:c>
      <x:c r="M27" s="48" t="str">
        <x:v>Implemented</x:v>
      </x:c>
      <x:c r="N27" s="48" t="str">
        <x:v>Pending review</x:v>
      </x:c>
      <x:c r="O27" s="42"/>
      <x:c r="P27" s="42" t="str">
        <x:v>https://www.nist.gov/cyberframework</x:v>
      </x:c>
    </x:row>
    <x:row r="28" ht="21.600000381469727" hidden="0" customHeight="1">
      <x:c r="A28" s="45" t="str">
        <x:v>PR.DS-02</x:v>
      </x:c>
      <x:c r="B28" s="48" t="str">
        <x:v>Protect</x:v>
      </x:c>
      <x:c r="C28" s="48" t="str">
        <x:v>Data Security</x:v>
      </x:c>
      <x:c r="D28" s="42" t="str">
        <x:v>Protect sensitive data transmitted between users, systems, and vendors.</x:v>
      </x:c>
      <x:c r="E28" s="48" t="str">
        <x:v>Partial</x:v>
      </x:c>
      <x:c r="F28" s="42" t="str">
        <x:v>HTTPS and encrypted provider connections</x:v>
      </x:c>
      <x:c r="G28" s="42" t="str">
        <x:v>Transport settings and API token protections need formal review.</x:v>
      </x:c>
      <x:c r="H28" s="42" t="str">
        <x:v>Review TLS settings, API authentication, token storage, and certificate monitoring.</x:v>
      </x:c>
      <x:c r="I28" s="48" t="str">
        <x:v>Software Development</x:v>
      </x:c>
      <x:c r="J28" s="48" t="str">
        <x:v>High</x:v>
      </x:c>
      <x:c r="K28" s="48" t="str">
        <x:v>TRN-R004; TRN-R009; TRN-R010</x:v>
      </x:c>
      <x:c r="L28" s="48" t="str">
        <x:v>SC-8</x:v>
      </x:c>
      <x:c r="M28" s="48" t="str">
        <x:v>Implemented</x:v>
      </x:c>
      <x:c r="N28" s="48" t="str">
        <x:v>Pending review</x:v>
      </x:c>
      <x:c r="O28" s="42"/>
      <x:c r="P28" s="42" t="str">
        <x:v>https://www.nist.gov/cyberframework</x:v>
      </x:c>
    </x:row>
    <x:row r="29" ht="15" hidden="0" customHeight="1">
      <x:c r="A29" s="45" t="str">
        <x:v>PR.PS-01</x:v>
      </x:c>
      <x:c r="B29" s="48" t="str">
        <x:v>Protect</x:v>
      </x:c>
      <x:c r="C29" s="48" t="str">
        <x:v>Platform Security</x:v>
      </x:c>
      <x:c r="D29" s="42" t="str">
        <x:v>Establish and maintain approved security configuration practices.</x:v>
      </x:c>
      <x:c r="E29" s="48" t="str">
        <x:v>Not Implemented</x:v>
      </x:c>
      <x:c r="F29" s="42" t="str">
        <x:v>Limited cloud configuration reviews</x:v>
      </x:c>
      <x:c r="G29" s="42" t="str">
        <x:v>No documented baselines or automated drift detection.</x:v>
      </x:c>
      <x:c r="H29" s="42" t="str">
        <x:v>Create secure baselines and implement cloud configuration monitoring.</x:v>
      </x:c>
      <x:c r="I29" s="48" t="str">
        <x:v>IT / Cloud Engineering</x:v>
      </x:c>
      <x:c r="J29" s="48" t="str">
        <x:v>Critical</x:v>
      </x:c>
      <x:c r="K29" s="48" t="str">
        <x:v>TRN-R002; TRN-R003</x:v>
      </x:c>
      <x:c r="L29" s="48" t="str">
        <x:v>CM-2; CM-6</x:v>
      </x:c>
      <x:c r="M29" s="48" t="str">
        <x:v>Implemented</x:v>
      </x:c>
      <x:c r="N29" s="48" t="str">
        <x:v>Pending review</x:v>
      </x:c>
      <x:c r="O29" s="42"/>
      <x:c r="P29" s="42" t="str">
        <x:v>https://www.nist.gov/cyberframework</x:v>
      </x:c>
    </x:row>
    <x:row r="30" ht="21.600000381469727" hidden="0" customHeight="1">
      <x:c r="A30" s="45" t="str">
        <x:v>PR.PS-02</x:v>
      </x:c>
      <x:c r="B30" s="48" t="str">
        <x:v>Protect</x:v>
      </x:c>
      <x:c r="C30" s="48" t="str">
        <x:v>Platform Security</x:v>
      </x:c>
      <x:c r="D30" s="42" t="str">
        <x:v>Maintain, replace, and remove software according to risk.</x:v>
      </x:c>
      <x:c r="E30" s="48" t="str">
        <x:v>Partial</x:v>
      </x:c>
      <x:c r="F30" s="42" t="str">
        <x:v>Dependency updates; Windows patching</x:v>
      </x:c>
      <x:c r="G30" s="42" t="str">
        <x:v>Patch deadlines and exception handling are inconsistent.</x:v>
      </x:c>
      <x:c r="H30" s="42" t="str">
        <x:v>Adopt severity-based patch SLAs, compliance reporting, and exception approval.</x:v>
      </x:c>
      <x:c r="I30" s="48" t="str">
        <x:v>IT / Software Development</x:v>
      </x:c>
      <x:c r="J30" s="48" t="str">
        <x:v>Critical</x:v>
      </x:c>
      <x:c r="K30" s="48" t="str">
        <x:v>TRN-R005; TRN-R006</x:v>
      </x:c>
      <x:c r="L30" s="48" t="str">
        <x:v>SI-2</x:v>
      </x:c>
      <x:c r="M30" s="48" t="str">
        <x:v>Implemented</x:v>
      </x:c>
      <x:c r="N30" s="48" t="str">
        <x:v>Pending review</x:v>
      </x:c>
      <x:c r="O30" s="42"/>
      <x:c r="P30" s="42" t="str">
        <x:v>https://www.nist.gov/cyberframework</x:v>
      </x:c>
    </x:row>
    <x:row r="31" ht="21.600000381469727" hidden="0" customHeight="1">
      <x:c r="A31" s="45" t="str">
        <x:v>PR.PS-04</x:v>
      </x:c>
      <x:c r="B31" s="48" t="str">
        <x:v>Protect</x:v>
      </x:c>
      <x:c r="C31" s="48" t="str">
        <x:v>Platform Security</x:v>
      </x:c>
      <x:c r="D31" s="42" t="str">
        <x:v>Generate and retain logs needed for continuous monitoring.</x:v>
      </x:c>
      <x:c r="E31" s="48" t="str">
        <x:v>Partial</x:v>
      </x:c>
      <x:c r="F31" s="42" t="str">
        <x:v>AWS and authentication logs retained</x:v>
      </x:c>
      <x:c r="G31" s="42" t="str">
        <x:v>Coverage, retention, ownership, and review expectations are incomplete.</x:v>
      </x:c>
      <x:c r="H31" s="42" t="str">
        <x:v>Define required log sources, retention periods, alerts, and review responsibilities.</x:v>
      </x:c>
      <x:c r="I31" s="48" t="str">
        <x:v>Cybersecurity / IT</x:v>
      </x:c>
      <x:c r="J31" s="48" t="str">
        <x:v>High</x:v>
      </x:c>
      <x:c r="K31" s="48" t="str">
        <x:v>TRN-R008; TRN-R012</x:v>
      </x:c>
      <x:c r="L31" s="48" t="str">
        <x:v>AU-2; AU-6; AU-12</x:v>
      </x:c>
      <x:c r="M31" s="48" t="str">
        <x:v>Implemented</x:v>
      </x:c>
      <x:c r="N31" s="48" t="str">
        <x:v>Pending review</x:v>
      </x:c>
      <x:c r="O31" s="42"/>
      <x:c r="P31" s="42" t="str">
        <x:v>https://www.nist.gov/cyberframework</x:v>
      </x:c>
    </x:row>
    <x:row r="32" ht="21.600000381469727" hidden="0" customHeight="1">
      <x:c r="A32" s="45" t="str">
        <x:v>DE.CM-01</x:v>
      </x:c>
      <x:c r="B32" s="48" t="str">
        <x:v>Detect</x:v>
      </x:c>
      <x:c r="C32" s="48" t="str">
        <x:v>Continuous Monitoring</x:v>
      </x:c>
      <x:c r="D32" s="42" t="str">
        <x:v>Monitor networks and services for potentially adverse activity.</x:v>
      </x:c>
      <x:c r="E32" s="48" t="str">
        <x:v>Partial</x:v>
      </x:c>
      <x:c r="F32" s="42" t="str">
        <x:v>Basic AWS and application monitoring</x:v>
      </x:c>
      <x:c r="G32" s="42" t="str">
        <x:v>Security alert coverage and response ownership are limited.</x:v>
      </x:c>
      <x:c r="H32" s="42" t="str">
        <x:v>Centralize alerts and monitor authentication, cloud, endpoint, and application events.</x:v>
      </x:c>
      <x:c r="I32" s="48" t="str">
        <x:v>Cybersecurity / IT</x:v>
      </x:c>
      <x:c r="J32" s="48" t="str">
        <x:v>High</x:v>
      </x:c>
      <x:c r="K32" s="48" t="str">
        <x:v>TRN-R001; TRN-R002; TRN-R012; TRN-R015</x:v>
      </x:c>
      <x:c r="L32" s="48" t="str">
        <x:v>SI-4</x:v>
      </x:c>
      <x:c r="M32" s="48" t="str">
        <x:v>Implemented</x:v>
      </x:c>
      <x:c r="N32" s="48" t="str">
        <x:v>Pending review</x:v>
      </x:c>
      <x:c r="O32" s="42"/>
      <x:c r="P32" s="42" t="str">
        <x:v>https://www.nist.gov/cyberframework</x:v>
      </x:c>
    </x:row>
    <x:row r="33" ht="21.600000381469727" hidden="0" customHeight="1">
      <x:c r="A33" s="45" t="str">
        <x:v>RS.MA-01</x:v>
      </x:c>
      <x:c r="B33" s="48" t="str">
        <x:v>Respond</x:v>
      </x:c>
      <x:c r="C33" s="48" t="str">
        <x:v>Incident Management</x:v>
      </x:c>
      <x:c r="D33" s="42" t="str">
        <x:v>Execute an incident-response plan when an event is declared.</x:v>
      </x:c>
      <x:c r="E33" s="48" t="str">
        <x:v>Not Implemented</x:v>
      </x:c>
      <x:c r="F33" s="42" t="str">
        <x:v>Informal technical escalation</x:v>
      </x:c>
      <x:c r="G33" s="42" t="str">
        <x:v>No approved plan, severity model, roles, or exercise records.</x:v>
      </x:c>
      <x:c r="H33" s="42" t="str">
        <x:v>Create an incident-response plan and conduct a credential-compromise tabletop exercise.</x:v>
      </x:c>
      <x:c r="I33" s="48" t="str">
        <x:v>Cybersecurity / Compliance</x:v>
      </x:c>
      <x:c r="J33" s="48" t="str">
        <x:v>Critical</x:v>
      </x:c>
      <x:c r="K33" s="48" t="str">
        <x:v>TRN-R001; TRN-R005; TRN-R010; TRN-R012</x:v>
      </x:c>
      <x:c r="L33" s="48" t="str">
        <x:v>IR-4; IR-8</x:v>
      </x:c>
      <x:c r="M33" s="48" t="str">
        <x:v>Implemented</x:v>
      </x:c>
      <x:c r="N33" s="48" t="str">
        <x:v>Pending review</x:v>
      </x:c>
      <x:c r="O33" s="42"/>
      <x:c r="P33" s="42" t="str">
        <x:v>https://www.nist.gov/cyberframework</x:v>
      </x:c>
    </x:row>
    <x:row r="34" ht="21.600000381469727" hidden="0" customHeight="1">
      <x:c r="A34" s="46" t="str">
        <x:v>RC.RP-01</x:v>
      </x:c>
      <x:c r="B34" s="49" t="str">
        <x:v>Recover</x:v>
      </x:c>
      <x:c r="C34" s="49" t="str">
        <x:v>Incident Recovery Plan Execution</x:v>
      </x:c>
      <x:c r="D34" s="43" t="str">
        <x:v>Execute a recovery plan and restore critical operations after an incident.</x:v>
      </x:c>
      <x:c r="E34" s="49" t="str">
        <x:v>Partial</x:v>
      </x:c>
      <x:c r="F34" s="43" t="str">
        <x:v>Automated backups enabled</x:v>
      </x:c>
      <x:c r="G34" s="43" t="str">
        <x:v>Recovery objectives and restoration testing are not documented.</x:v>
      </x:c>
      <x:c r="H34" s="43" t="str">
        <x:v>Define recovery objectives and test restoration and communication procedures quarterly.</x:v>
      </x:c>
      <x:c r="I34" s="49" t="str">
        <x:v>IT / Cloud Engineering</x:v>
      </x:c>
      <x:c r="J34" s="49" t="str">
        <x:v>Critical</x:v>
      </x:c>
      <x:c r="K34" s="49" t="str">
        <x:v>TRN-R011; TRN-R015</x:v>
      </x:c>
      <x:c r="L34" s="49" t="str">
        <x:v>CP-2; CP-10</x:v>
      </x:c>
      <x:c r="M34" s="49" t="str">
        <x:v>Implemented</x:v>
      </x:c>
      <x:c r="N34" s="49" t="str">
        <x:v>Pending review</x:v>
      </x:c>
      <x:c r="O34" s="43"/>
      <x:c r="P34" s="43" t="str">
        <x:v>https://www.nist.gov/cyberframework</x:v>
      </x:c>
    </x:row>
  </x:sheetData>
  <x:mergeCells>
    <x:mergeCell ref="A1:P1"/>
    <x:mergeCell ref="A2:P2"/>
  </x:mergeCells>
  <x:conditionalFormatting sqref="E13:E112">
    <x:cfRule type="containsText" dxfId="0" priority="1" operator="containsText" text="Implemented"/>
    <x:cfRule type="containsText" dxfId="1" priority="2" operator="containsText" text="Partial"/>
    <x:cfRule type="containsText" dxfId="2" priority="3" operator="containsText" text="Not Implemented"/>
  </x:conditionalFormatting>
  <x:conditionalFormatting sqref="M13:M112">
    <x:cfRule type="containsText" dxfId="3" priority="4" operator="containsText" text="Implemented"/>
    <x:cfRule type="containsText" dxfId="4" priority="5" operator="containsText" text="Partial"/>
    <x:cfRule type="containsText" dxfId="5" priority="6" operator="containsText" text="Not Implemented"/>
  </x:conditionalFormatting>
  <x:conditionalFormatting sqref="J13:J112">
    <x:cfRule type="containsText" dxfId="6" priority="7" operator="containsText" text="Critical"/>
    <x:cfRule type="containsText" dxfId="7" priority="8" operator="containsText" text="High"/>
  </x:conditionalFormatting>
  <x:dataValidations count="4">
    <x:dataValidation type="list" sqref="E13:E112">
      <x:formula1>"Implemented,Partial,Not Implemented,Not Applicable"</x:formula1>
    </x:dataValidation>
    <x:dataValidation type="list" sqref="J13:J112">
      <x:formula1>"Low,Medium,High,Critical"</x:formula1>
    </x:dataValidation>
    <x:dataValidation type="list" sqref="M13:M112">
      <x:formula1>"Implemented,Partial,Not Implemented,Not Applicable"</x:formula1>
    </x:dataValidation>
    <x:dataValidation type="list" sqref="N13:N112">
      <x:formula1>"Pending review,Approved,Revise,Rejected"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8e37c79bd945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28" customHeight="1">
      <x:c r="A1" s="96" t="str">
        <x:v>Trainory Framework Guide</x:v>
      </x:c>
      <x:c r="B1" s="96" t="str">
        <x:v>Trainory Framework Guide</x:v>
      </x:c>
      <x:c r="C1" s="96" t="str">
        <x:v>Trainory Framework Guide</x:v>
      </x:c>
      <x:c r="D1" s="96" t="str">
        <x:v>Trainory Framework Guide</x:v>
      </x:c>
      <x:c r="E1" s="96" t="str">
        <x:v>Trainory Framework Guide</x:v>
      </x:c>
      <x:c r="F1" s="2"/>
    </x:row>
    <x:row r="3">
      <x:c r="A3" s="6" t="str">
        <x:v>CSF Function</x:v>
      </x:c>
      <x:c r="B3" s="6" t="str">
        <x:v>Plain-language purpose</x:v>
      </x:c>
      <x:c r="D3" s="60"/>
      <x:c r="E3" s="60"/>
      <x:c r="F3" s="60"/>
    </x:row>
    <x:row r="4" ht="15" hidden="0" customHeight="1">
      <x:c r="A4" s="57" t="str">
        <x:v>Govern</x:v>
      </x:c>
      <x:c r="B4" s="54" t="str">
        <x:v>Set direction, responsibilities, policies, and oversight.</x:v>
      </x:c>
      <x:c r="D4" s="79"/>
      <x:c r="E4" s="80"/>
      <x:c r="F4" s="81"/>
    </x:row>
    <x:row r="5" ht="15" hidden="0" customHeight="1">
      <x:c r="A5" s="58" t="str">
        <x:v>Identify</x:v>
      </x:c>
      <x:c r="B5" s="55" t="str">
        <x:v>Understand assets, threats, vulnerabilities, and risk.</x:v>
      </x:c>
      <x:c r="D5" s="82"/>
      <x:c r="E5" s="83"/>
      <x:c r="F5" s="84"/>
    </x:row>
    <x:row r="6" ht="15" hidden="0" customHeight="1">
      <x:c r="A6" s="58" t="str">
        <x:v>Protect</x:v>
      </x:c>
      <x:c r="B6" s="55" t="str">
        <x:v>Use safeguards to reduce the chance or impact of harm.</x:v>
      </x:c>
      <x:c r="D6" s="82"/>
      <x:c r="E6" s="83"/>
      <x:c r="F6" s="84"/>
    </x:row>
    <x:row r="7" ht="15" hidden="0" customHeight="1">
      <x:c r="A7" s="58" t="str">
        <x:v>Detect</x:v>
      </x:c>
      <x:c r="B7" s="55" t="str">
        <x:v>Discover suspicious activity and cybersecurity events.</x:v>
      </x:c>
      <x:c r="D7" s="82"/>
      <x:c r="E7" s="83"/>
      <x:c r="F7" s="84"/>
    </x:row>
    <x:row r="8" ht="15" hidden="0" customHeight="1">
      <x:c r="A8" s="58" t="str">
        <x:v>Respond</x:v>
      </x:c>
      <x:c r="B8" s="55" t="str">
        <x:v>Contain, communicate, investigate, and manage incidents.</x:v>
      </x:c>
      <x:c r="D8" s="82"/>
      <x:c r="E8" s="83"/>
      <x:c r="F8" s="84"/>
    </x:row>
    <x:row r="9" ht="15" hidden="0" customHeight="1">
      <x:c r="A9" s="59" t="str">
        <x:v>Recover</x:v>
      </x:c>
      <x:c r="B9" s="56" t="str">
        <x:v>Restore operations and improve after an incident.</x:v>
      </x:c>
      <x:c r="D9" s="85"/>
      <x:c r="E9" s="86"/>
      <x:c r="F9" s="87"/>
    </x:row>
    <x:row r="11">
      <x:c r="A11" s="6" t="str">
        <x:v>Authoritative references</x:v>
      </x:c>
      <x:c r="B11" s="6"/>
      <x:c r="C11" s="6"/>
      <x:c r="D11" s="6"/>
      <x:c r="E11" s="6"/>
      <x:c r="F11" s="6"/>
    </x:row>
    <x:row r="12">
      <x:c r="A12" s="89" t="str">
        <x:v>NIST CSF 2.0: https://nvlpubs.nist.gov/nistpubs/CSWP/NIST.CSWP.29.pdf</x:v>
      </x:c>
      <x:c r="B12" s="89"/>
      <x:c r="C12" s="89"/>
      <x:c r="D12" s="89"/>
      <x:c r="E12" s="89"/>
      <x:c r="F12" s="89"/>
    </x:row>
    <x:row r="13">
      <x:c r="A13" s="89" t="str">
        <x:v>NIST CSF 2.0 Reference Tool: https://csrc.nist.gov/Projects/cybersecurity-framework/Filters</x:v>
      </x:c>
      <x:c r="B13" s="89"/>
      <x:c r="C13" s="89"/>
      <x:c r="D13" s="89"/>
      <x:c r="E13" s="89"/>
      <x:c r="F13" s="89"/>
    </x:row>
    <x:row r="14">
      <x:c r="A14" s="89" t="str">
        <x:v>NIST SP 800-53 Rev. 5: https://csrc.nist.gov/pubs/sp/800/53/r5/upd1/final</x:v>
      </x:c>
      <x:c r="B14" s="89"/>
      <x:c r="C14" s="89"/>
      <x:c r="D14" s="89"/>
      <x:c r="E14" s="89"/>
      <x:c r="F14" s="89"/>
    </x:row>
  </x:sheetData>
  <x:mergeCells>
    <x:mergeCell ref="D3:F3"/>
    <x:mergeCell ref="D4:F9"/>
    <x:mergeCell ref="A11:F11"/>
    <x:mergeCell ref="A12:F12"/>
    <x:mergeCell ref="A13:F13"/>
    <x:mergeCell ref="A14:F14"/>
    <x:mergeCell ref="A1:E1"/>
  </x:mergeCells>
  <x:pageMargins left="0.7" right="0.7" top="0.75" bottom="0.75" header="0.3" footer="0.3"/>
</x:worksheet>
</file>